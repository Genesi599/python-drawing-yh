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0" documentId="14_{19A68473-456E-43C2-BCDB-609313C7168C}" xr6:coauthVersionLast="47" xr6:coauthVersionMax="47" xr10:uidLastSave="{00000000-0000-0000-0000-000000000000}"/>
  <bookViews>
    <workbookView xWindow="-96" yWindow="-96" windowWidth="23232" windowHeight="12432" activeTab="1" xr2:uid="{0B703864-35B1-44AA-A858-4F510576DACF}"/>
  </bookViews>
  <sheets>
    <sheet name="总" sheetId="2" r:id="rId1"/>
    <sheet name="y vs m" sheetId="3" r:id="rId2"/>
    <sheet name="m vs o" sheetId="5" r:id="rId3"/>
    <sheet name="o vs y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6" l="1"/>
  <c r="R2" i="6"/>
  <c r="S2" i="6"/>
  <c r="R3" i="6"/>
  <c r="S3" i="6"/>
  <c r="R4" i="6"/>
  <c r="S4" i="6"/>
  <c r="R5" i="6"/>
  <c r="R6" i="6"/>
  <c r="S6" i="6"/>
  <c r="R7" i="6"/>
  <c r="S7" i="6"/>
  <c r="R8" i="6"/>
  <c r="S8" i="6"/>
  <c r="R9" i="6"/>
  <c r="S9" i="6"/>
  <c r="R10" i="6"/>
  <c r="S10" i="6"/>
  <c r="R11" i="6"/>
  <c r="S11" i="6"/>
  <c r="R12" i="6"/>
  <c r="S12" i="6"/>
  <c r="R13" i="6"/>
  <c r="S13" i="6"/>
  <c r="R14" i="6"/>
  <c r="S14" i="6"/>
  <c r="R15" i="6"/>
  <c r="S15" i="6"/>
  <c r="R16" i="6"/>
  <c r="S16" i="6"/>
  <c r="R17" i="6"/>
  <c r="S17" i="6"/>
  <c r="R18" i="6"/>
  <c r="S18" i="6"/>
  <c r="R19" i="6"/>
  <c r="S19" i="6"/>
  <c r="R20" i="6"/>
  <c r="S20" i="6"/>
  <c r="R21" i="6"/>
  <c r="S21" i="6"/>
  <c r="R22" i="6"/>
  <c r="S22" i="6"/>
  <c r="R23" i="6"/>
  <c r="S23" i="6"/>
  <c r="R24" i="6"/>
  <c r="S24" i="6"/>
  <c r="R25" i="6"/>
  <c r="S25" i="6"/>
  <c r="R26" i="6"/>
  <c r="S26" i="6"/>
  <c r="R27" i="6"/>
  <c r="S27" i="6"/>
  <c r="R28" i="6"/>
  <c r="S28" i="6"/>
  <c r="R29" i="6"/>
  <c r="S29" i="6"/>
  <c r="R30" i="6"/>
  <c r="S30" i="6"/>
  <c r="R31" i="6"/>
  <c r="S31" i="6"/>
  <c r="R32" i="6"/>
  <c r="S32" i="6"/>
  <c r="R33" i="6"/>
  <c r="S33" i="6"/>
  <c r="R34" i="6"/>
  <c r="S34" i="6"/>
  <c r="R35" i="6"/>
  <c r="S35" i="6"/>
  <c r="R36" i="6"/>
  <c r="S36" i="6"/>
  <c r="R37" i="6"/>
  <c r="S37" i="6"/>
  <c r="R38" i="6"/>
  <c r="S38" i="6"/>
  <c r="R39" i="6"/>
  <c r="S39" i="6"/>
  <c r="R40" i="6"/>
  <c r="S40" i="6"/>
  <c r="R41" i="6"/>
  <c r="S41" i="6"/>
  <c r="R42" i="6"/>
  <c r="S42" i="6"/>
  <c r="R43" i="6"/>
  <c r="S43" i="6"/>
  <c r="R44" i="6"/>
  <c r="S44" i="6"/>
  <c r="R45" i="6"/>
  <c r="S45" i="6"/>
  <c r="R46" i="6"/>
  <c r="S46" i="6"/>
  <c r="R47" i="6"/>
  <c r="S47" i="6"/>
  <c r="R48" i="6"/>
  <c r="S48" i="6"/>
  <c r="R49" i="6"/>
  <c r="S49" i="6"/>
  <c r="R50" i="6"/>
  <c r="S50" i="6"/>
  <c r="R51" i="6"/>
  <c r="S51" i="6"/>
  <c r="R52" i="6"/>
  <c r="S52" i="6"/>
  <c r="R53" i="6"/>
  <c r="S53" i="6"/>
  <c r="R54" i="6"/>
  <c r="S54" i="6"/>
  <c r="R55" i="6"/>
  <c r="S55" i="6"/>
  <c r="R56" i="6"/>
  <c r="S56" i="6"/>
  <c r="R57" i="6"/>
  <c r="S57" i="6"/>
  <c r="R58" i="6"/>
  <c r="S58" i="6"/>
  <c r="R59" i="6"/>
  <c r="S59" i="6"/>
  <c r="R60" i="6"/>
  <c r="S60" i="6"/>
  <c r="R61" i="6"/>
  <c r="S61" i="6"/>
  <c r="R62" i="6"/>
  <c r="S62" i="6"/>
  <c r="R63" i="6"/>
  <c r="S63" i="6"/>
  <c r="R64" i="6"/>
  <c r="S64" i="6"/>
  <c r="R65" i="6"/>
  <c r="S65" i="6"/>
  <c r="R66" i="6"/>
  <c r="S66" i="6"/>
  <c r="R67" i="6"/>
  <c r="S67" i="6"/>
  <c r="R68" i="6"/>
  <c r="S68" i="6"/>
  <c r="R69" i="6"/>
  <c r="S69" i="6"/>
  <c r="R70" i="6"/>
  <c r="S70" i="6"/>
  <c r="R71" i="6"/>
  <c r="S71" i="6"/>
  <c r="R72" i="6"/>
  <c r="S72" i="6"/>
  <c r="R73" i="6"/>
  <c r="S73" i="6"/>
  <c r="R74" i="6"/>
  <c r="S74" i="6"/>
  <c r="R75" i="6"/>
  <c r="S75" i="6"/>
  <c r="R76" i="6"/>
  <c r="S76" i="6"/>
  <c r="R77" i="6"/>
  <c r="S77" i="6"/>
  <c r="R78" i="6"/>
  <c r="S78" i="6"/>
  <c r="R79" i="6"/>
  <c r="S79" i="6"/>
  <c r="R80" i="6"/>
  <c r="S80" i="6"/>
  <c r="R81" i="6"/>
  <c r="S81" i="6"/>
  <c r="R82" i="6"/>
  <c r="S82" i="6"/>
  <c r="R83" i="6"/>
  <c r="S83" i="6"/>
  <c r="R84" i="6"/>
  <c r="S84" i="6"/>
  <c r="R85" i="6"/>
  <c r="S85" i="6"/>
  <c r="R86" i="6"/>
  <c r="S86" i="6"/>
  <c r="R87" i="6"/>
  <c r="S87" i="6"/>
  <c r="R88" i="6"/>
  <c r="S88" i="6"/>
  <c r="R89" i="6"/>
  <c r="S89" i="6"/>
  <c r="R90" i="6"/>
  <c r="S90" i="6"/>
  <c r="R91" i="6"/>
  <c r="S91" i="6"/>
  <c r="R92" i="6"/>
  <c r="S92" i="6"/>
  <c r="R93" i="6"/>
  <c r="S93" i="6"/>
  <c r="R94" i="6"/>
  <c r="S94" i="6"/>
  <c r="R95" i="6"/>
  <c r="S95" i="6"/>
  <c r="R96" i="6"/>
  <c r="S96" i="6"/>
  <c r="R97" i="6"/>
  <c r="S97" i="6"/>
  <c r="R98" i="6"/>
  <c r="S98" i="6"/>
  <c r="R99" i="6"/>
  <c r="S99" i="6"/>
  <c r="R100" i="6"/>
  <c r="S100" i="6"/>
  <c r="R101" i="6"/>
  <c r="S101" i="6"/>
  <c r="R102" i="6"/>
  <c r="S102" i="6"/>
  <c r="R103" i="6"/>
  <c r="S103" i="6"/>
  <c r="R104" i="6"/>
  <c r="S104" i="6"/>
  <c r="R105" i="6"/>
  <c r="S105" i="6"/>
  <c r="R106" i="6"/>
  <c r="S106" i="6"/>
  <c r="R107" i="6"/>
  <c r="S107" i="6"/>
  <c r="R108" i="6"/>
  <c r="S108" i="6"/>
  <c r="R109" i="6"/>
  <c r="S109" i="6"/>
  <c r="R110" i="6"/>
  <c r="S110" i="6"/>
  <c r="R111" i="6"/>
  <c r="S111" i="6"/>
  <c r="R112" i="6"/>
  <c r="S112" i="6"/>
  <c r="R113" i="6"/>
  <c r="S113" i="6"/>
  <c r="R114" i="6"/>
  <c r="S114" i="6"/>
  <c r="R115" i="6"/>
  <c r="S115" i="6"/>
  <c r="R116" i="6"/>
  <c r="S116" i="6"/>
  <c r="R117" i="6"/>
  <c r="S117" i="6"/>
  <c r="R118" i="6"/>
  <c r="S118" i="6"/>
  <c r="R119" i="6"/>
  <c r="S119" i="6"/>
  <c r="P2" i="6"/>
  <c r="Q2" i="6"/>
  <c r="P3" i="6"/>
  <c r="Q3" i="6"/>
  <c r="P4" i="6"/>
  <c r="Q4" i="6"/>
  <c r="P5" i="6"/>
  <c r="Q5" i="6"/>
  <c r="P6" i="6"/>
  <c r="Q6" i="6"/>
  <c r="P7" i="6"/>
  <c r="Q7" i="6"/>
  <c r="P8" i="6"/>
  <c r="Q8" i="6"/>
  <c r="P9" i="6"/>
  <c r="Q9" i="6"/>
  <c r="P10" i="6"/>
  <c r="Q10" i="6"/>
  <c r="P11" i="6"/>
  <c r="Q11" i="6"/>
  <c r="P12" i="6"/>
  <c r="Q12" i="6"/>
  <c r="P13" i="6"/>
  <c r="Q13" i="6"/>
  <c r="P14" i="6"/>
  <c r="Q14" i="6"/>
  <c r="P15" i="6"/>
  <c r="Q15" i="6"/>
  <c r="P16" i="6"/>
  <c r="Q16" i="6"/>
  <c r="P17" i="6"/>
  <c r="Q17" i="6"/>
  <c r="P18" i="6"/>
  <c r="Q18" i="6"/>
  <c r="P19" i="6"/>
  <c r="Q19" i="6"/>
  <c r="P20" i="6"/>
  <c r="Q20" i="6"/>
  <c r="P21" i="6"/>
  <c r="Q21" i="6"/>
  <c r="P22" i="6"/>
  <c r="Q22" i="6"/>
  <c r="P23" i="6"/>
  <c r="Q23" i="6"/>
  <c r="P24" i="6"/>
  <c r="Q24" i="6"/>
  <c r="P25" i="6"/>
  <c r="Q25" i="6"/>
  <c r="P26" i="6"/>
  <c r="Q26" i="6"/>
  <c r="P27" i="6"/>
  <c r="Q27" i="6"/>
  <c r="P28" i="6"/>
  <c r="Q28" i="6"/>
  <c r="P29" i="6"/>
  <c r="Q29" i="6"/>
  <c r="P30" i="6"/>
  <c r="Q30" i="6"/>
  <c r="P31" i="6"/>
  <c r="Q31" i="6"/>
  <c r="P32" i="6"/>
  <c r="Q32" i="6"/>
  <c r="P33" i="6"/>
  <c r="Q33" i="6"/>
  <c r="P34" i="6"/>
  <c r="Q34" i="6"/>
  <c r="P35" i="6"/>
  <c r="Q35" i="6"/>
  <c r="P36" i="6"/>
  <c r="Q36" i="6"/>
  <c r="P37" i="6"/>
  <c r="Q37" i="6"/>
  <c r="P38" i="6"/>
  <c r="Q38" i="6"/>
  <c r="P39" i="6"/>
  <c r="Q39" i="6"/>
  <c r="P40" i="6"/>
  <c r="Q40" i="6"/>
  <c r="P41" i="6"/>
  <c r="Q41" i="6"/>
  <c r="P42" i="6"/>
  <c r="Q42" i="6"/>
  <c r="P43" i="6"/>
  <c r="Q43" i="6"/>
  <c r="P44" i="6"/>
  <c r="Q44" i="6"/>
  <c r="P45" i="6"/>
  <c r="Q45" i="6"/>
  <c r="P46" i="6"/>
  <c r="Q46" i="6"/>
  <c r="P47" i="6"/>
  <c r="Q47" i="6"/>
  <c r="P48" i="6"/>
  <c r="Q48" i="6"/>
  <c r="P49" i="6"/>
  <c r="Q49" i="6"/>
  <c r="P50" i="6"/>
  <c r="Q50" i="6"/>
  <c r="P51" i="6"/>
  <c r="Q51" i="6"/>
  <c r="P52" i="6"/>
  <c r="Q52" i="6"/>
  <c r="P53" i="6"/>
  <c r="Q53" i="6"/>
  <c r="P54" i="6"/>
  <c r="Q54" i="6"/>
  <c r="P55" i="6"/>
  <c r="Q55" i="6"/>
  <c r="P56" i="6"/>
  <c r="Q56" i="6"/>
  <c r="P57" i="6"/>
  <c r="Q57" i="6"/>
  <c r="P58" i="6"/>
  <c r="Q58" i="6"/>
  <c r="P59" i="6"/>
  <c r="Q59" i="6"/>
  <c r="P60" i="6"/>
  <c r="Q60" i="6"/>
  <c r="P61" i="6"/>
  <c r="Q61" i="6"/>
  <c r="P62" i="6"/>
  <c r="Q62" i="6"/>
  <c r="P63" i="6"/>
  <c r="Q63" i="6"/>
  <c r="P64" i="6"/>
  <c r="Q64" i="6"/>
  <c r="P65" i="6"/>
  <c r="Q65" i="6"/>
  <c r="P66" i="6"/>
  <c r="Q66" i="6"/>
  <c r="P67" i="6"/>
  <c r="Q67" i="6"/>
  <c r="P68" i="6"/>
  <c r="Q68" i="6"/>
  <c r="P69" i="6"/>
  <c r="Q69" i="6"/>
  <c r="P70" i="6"/>
  <c r="Q70" i="6"/>
  <c r="P71" i="6"/>
  <c r="Q71" i="6"/>
  <c r="P72" i="6"/>
  <c r="Q72" i="6"/>
  <c r="P73" i="6"/>
  <c r="Q73" i="6"/>
  <c r="P74" i="6"/>
  <c r="Q74" i="6"/>
  <c r="P75" i="6"/>
  <c r="Q75" i="6"/>
  <c r="P76" i="6"/>
  <c r="Q76" i="6"/>
  <c r="P77" i="6"/>
  <c r="Q77" i="6"/>
  <c r="P78" i="6"/>
  <c r="Q78" i="6"/>
  <c r="P79" i="6"/>
  <c r="Q79" i="6"/>
  <c r="P80" i="6"/>
  <c r="Q80" i="6"/>
  <c r="P81" i="6"/>
  <c r="Q81" i="6"/>
  <c r="P82" i="6"/>
  <c r="Q82" i="6"/>
  <c r="P83" i="6"/>
  <c r="Q83" i="6"/>
  <c r="P84" i="6"/>
  <c r="Q84" i="6"/>
  <c r="P85" i="6"/>
  <c r="Q85" i="6"/>
  <c r="P86" i="6"/>
  <c r="Q86" i="6"/>
  <c r="P87" i="6"/>
  <c r="Q87" i="6"/>
  <c r="P88" i="6"/>
  <c r="Q88" i="6"/>
  <c r="P89" i="6"/>
  <c r="Q89" i="6"/>
  <c r="P90" i="6"/>
  <c r="Q90" i="6"/>
  <c r="P91" i="6"/>
  <c r="Q91" i="6"/>
  <c r="P92" i="6"/>
  <c r="Q92" i="6"/>
  <c r="P93" i="6"/>
  <c r="Q93" i="6"/>
  <c r="P94" i="6"/>
  <c r="Q94" i="6"/>
  <c r="P95" i="6"/>
  <c r="Q95" i="6"/>
  <c r="P96" i="6"/>
  <c r="Q96" i="6"/>
  <c r="P97" i="6"/>
  <c r="Q97" i="6"/>
  <c r="P98" i="6"/>
  <c r="Q98" i="6"/>
  <c r="P99" i="6"/>
  <c r="Q99" i="6"/>
  <c r="P100" i="6"/>
  <c r="Q100" i="6"/>
  <c r="P101" i="6"/>
  <c r="Q101" i="6"/>
  <c r="P102" i="6"/>
  <c r="Q102" i="6"/>
  <c r="P103" i="6"/>
  <c r="Q103" i="6"/>
  <c r="P104" i="6"/>
  <c r="Q104" i="6"/>
  <c r="P105" i="6"/>
  <c r="Q105" i="6"/>
  <c r="P106" i="6"/>
  <c r="Q106" i="6"/>
  <c r="P107" i="6"/>
  <c r="Q107" i="6"/>
  <c r="P108" i="6"/>
  <c r="Q108" i="6"/>
  <c r="P109" i="6"/>
  <c r="Q109" i="6"/>
  <c r="P110" i="6"/>
  <c r="Q110" i="6"/>
  <c r="P111" i="6"/>
  <c r="Q111" i="6"/>
  <c r="P112" i="6"/>
  <c r="Q112" i="6"/>
  <c r="P113" i="6"/>
  <c r="Q113" i="6"/>
  <c r="P114" i="6"/>
  <c r="Q114" i="6"/>
  <c r="P115" i="6"/>
  <c r="Q115" i="6"/>
  <c r="P116" i="6"/>
  <c r="Q116" i="6"/>
  <c r="P117" i="6"/>
  <c r="Q117" i="6"/>
  <c r="P118" i="6"/>
  <c r="Q118" i="6"/>
  <c r="P119" i="6"/>
  <c r="Q119" i="6"/>
  <c r="S119" i="5"/>
  <c r="Q119" i="5"/>
  <c r="P119" i="5"/>
  <c r="S118" i="5"/>
  <c r="Q118" i="5"/>
  <c r="P118" i="5"/>
  <c r="R118" i="5" s="1"/>
  <c r="S117" i="5"/>
  <c r="Q117" i="5"/>
  <c r="P117" i="5"/>
  <c r="S116" i="5"/>
  <c r="Q116" i="5"/>
  <c r="P116" i="5"/>
  <c r="R116" i="5" s="1"/>
  <c r="S115" i="5"/>
  <c r="Q115" i="5"/>
  <c r="R115" i="5" s="1"/>
  <c r="P115" i="5"/>
  <c r="S114" i="5"/>
  <c r="Q114" i="5"/>
  <c r="P114" i="5"/>
  <c r="R114" i="5" s="1"/>
  <c r="S113" i="5"/>
  <c r="Q113" i="5"/>
  <c r="P113" i="5"/>
  <c r="S112" i="5"/>
  <c r="Q112" i="5"/>
  <c r="P112" i="5"/>
  <c r="S111" i="5"/>
  <c r="Q111" i="5"/>
  <c r="P111" i="5"/>
  <c r="S110" i="5"/>
  <c r="Q110" i="5"/>
  <c r="P110" i="5"/>
  <c r="R110" i="5" s="1"/>
  <c r="S109" i="5"/>
  <c r="Q109" i="5"/>
  <c r="P109" i="5"/>
  <c r="S108" i="5"/>
  <c r="Q108" i="5"/>
  <c r="P108" i="5"/>
  <c r="S107" i="5"/>
  <c r="Q107" i="5"/>
  <c r="R107" i="5" s="1"/>
  <c r="P107" i="5"/>
  <c r="S106" i="5"/>
  <c r="Q106" i="5"/>
  <c r="P106" i="5"/>
  <c r="S105" i="5"/>
  <c r="Q105" i="5"/>
  <c r="R105" i="5" s="1"/>
  <c r="P105" i="5"/>
  <c r="S104" i="5"/>
  <c r="Q104" i="5"/>
  <c r="P104" i="5"/>
  <c r="S103" i="5"/>
  <c r="Q103" i="5"/>
  <c r="R103" i="5" s="1"/>
  <c r="P103" i="5"/>
  <c r="S102" i="5"/>
  <c r="Q102" i="5"/>
  <c r="P102" i="5"/>
  <c r="R102" i="5" s="1"/>
  <c r="S101" i="5"/>
  <c r="Q101" i="5"/>
  <c r="P101" i="5"/>
  <c r="S100" i="5"/>
  <c r="Q100" i="5"/>
  <c r="P100" i="5"/>
  <c r="R100" i="5" s="1"/>
  <c r="S99" i="5"/>
  <c r="Q99" i="5"/>
  <c r="P99" i="5"/>
  <c r="S98" i="5"/>
  <c r="Q98" i="5"/>
  <c r="P98" i="5"/>
  <c r="R98" i="5" s="1"/>
  <c r="S97" i="5"/>
  <c r="Q97" i="5"/>
  <c r="P97" i="5"/>
  <c r="S96" i="5"/>
  <c r="Q96" i="5"/>
  <c r="P96" i="5"/>
  <c r="R96" i="5" s="1"/>
  <c r="S95" i="5"/>
  <c r="Q95" i="5"/>
  <c r="P95" i="5"/>
  <c r="S94" i="5"/>
  <c r="Q94" i="5"/>
  <c r="P94" i="5"/>
  <c r="R94" i="5" s="1"/>
  <c r="S93" i="5"/>
  <c r="Q93" i="5"/>
  <c r="P93" i="5"/>
  <c r="S92" i="5"/>
  <c r="Q92" i="5"/>
  <c r="P92" i="5"/>
  <c r="R92" i="5" s="1"/>
  <c r="S91" i="5"/>
  <c r="Q91" i="5"/>
  <c r="P91" i="5"/>
  <c r="S90" i="5"/>
  <c r="Q90" i="5"/>
  <c r="P90" i="5"/>
  <c r="R90" i="5" s="1"/>
  <c r="S89" i="5"/>
  <c r="Q89" i="5"/>
  <c r="P89" i="5"/>
  <c r="S88" i="5"/>
  <c r="Q88" i="5"/>
  <c r="P88" i="5"/>
  <c r="R88" i="5" s="1"/>
  <c r="S87" i="5"/>
  <c r="Q87" i="5"/>
  <c r="P87" i="5"/>
  <c r="S86" i="5"/>
  <c r="Q86" i="5"/>
  <c r="P86" i="5"/>
  <c r="S85" i="5"/>
  <c r="Q85" i="5"/>
  <c r="R85" i="5" s="1"/>
  <c r="P85" i="5"/>
  <c r="S84" i="5"/>
  <c r="Q84" i="5"/>
  <c r="P84" i="5"/>
  <c r="S83" i="5"/>
  <c r="Q83" i="5"/>
  <c r="P83" i="5"/>
  <c r="S82" i="5"/>
  <c r="Q82" i="5"/>
  <c r="P82" i="5"/>
  <c r="R82" i="5" s="1"/>
  <c r="S81" i="5"/>
  <c r="Q81" i="5"/>
  <c r="P81" i="5"/>
  <c r="S80" i="5"/>
  <c r="Q80" i="5"/>
  <c r="P80" i="5"/>
  <c r="R80" i="5" s="1"/>
  <c r="S79" i="5"/>
  <c r="Q79" i="5"/>
  <c r="P79" i="5"/>
  <c r="S78" i="5"/>
  <c r="Q78" i="5"/>
  <c r="P78" i="5"/>
  <c r="S77" i="5"/>
  <c r="Q77" i="5"/>
  <c r="P77" i="5"/>
  <c r="S76" i="5"/>
  <c r="Q76" i="5"/>
  <c r="P76" i="5"/>
  <c r="R76" i="5" s="1"/>
  <c r="S75" i="5"/>
  <c r="Q75" i="5"/>
  <c r="R75" i="5" s="1"/>
  <c r="P75" i="5"/>
  <c r="S74" i="5"/>
  <c r="Q74" i="5"/>
  <c r="P74" i="5"/>
  <c r="R74" i="5" s="1"/>
  <c r="S73" i="5"/>
  <c r="Q73" i="5"/>
  <c r="P73" i="5"/>
  <c r="S72" i="5"/>
  <c r="Q72" i="5"/>
  <c r="P72" i="5"/>
  <c r="R72" i="5" s="1"/>
  <c r="S71" i="5"/>
  <c r="Q71" i="5"/>
  <c r="P71" i="5"/>
  <c r="S70" i="5"/>
  <c r="Q70" i="5"/>
  <c r="P70" i="5"/>
  <c r="R70" i="5" s="1"/>
  <c r="S69" i="5"/>
  <c r="Q69" i="5"/>
  <c r="P69" i="5"/>
  <c r="S68" i="5"/>
  <c r="Q68" i="5"/>
  <c r="P68" i="5"/>
  <c r="R68" i="5" s="1"/>
  <c r="S67" i="5"/>
  <c r="Q67" i="5"/>
  <c r="P67" i="5"/>
  <c r="S66" i="5"/>
  <c r="Q66" i="5"/>
  <c r="P66" i="5"/>
  <c r="R66" i="5" s="1"/>
  <c r="S65" i="5"/>
  <c r="Q65" i="5"/>
  <c r="P65" i="5"/>
  <c r="S64" i="5"/>
  <c r="Q64" i="5"/>
  <c r="P64" i="5"/>
  <c r="R64" i="5" s="1"/>
  <c r="S63" i="5"/>
  <c r="Q63" i="5"/>
  <c r="P63" i="5"/>
  <c r="S62" i="5"/>
  <c r="Q62" i="5"/>
  <c r="P62" i="5"/>
  <c r="R62" i="5" s="1"/>
  <c r="S61" i="5"/>
  <c r="Q61" i="5"/>
  <c r="P61" i="5"/>
  <c r="S60" i="5"/>
  <c r="Q60" i="5"/>
  <c r="P60" i="5"/>
  <c r="R60" i="5" s="1"/>
  <c r="S59" i="5"/>
  <c r="Q59" i="5"/>
  <c r="P59" i="5"/>
  <c r="S58" i="5"/>
  <c r="Q58" i="5"/>
  <c r="P58" i="5"/>
  <c r="S57" i="5"/>
  <c r="Q57" i="5"/>
  <c r="R57" i="5" s="1"/>
  <c r="P57" i="5"/>
  <c r="S56" i="5"/>
  <c r="Q56" i="5"/>
  <c r="P56" i="5"/>
  <c r="S55" i="5"/>
  <c r="Q55" i="5"/>
  <c r="P55" i="5"/>
  <c r="S54" i="5"/>
  <c r="Q54" i="5"/>
  <c r="P54" i="5"/>
  <c r="R54" i="5" s="1"/>
  <c r="S53" i="5"/>
  <c r="Q53" i="5"/>
  <c r="P53" i="5"/>
  <c r="S52" i="5"/>
  <c r="Q52" i="5"/>
  <c r="P52" i="5"/>
  <c r="R52" i="5" s="1"/>
  <c r="S51" i="5"/>
  <c r="Q51" i="5"/>
  <c r="P51" i="5"/>
  <c r="S50" i="5"/>
  <c r="Q50" i="5"/>
  <c r="P50" i="5"/>
  <c r="S49" i="5"/>
  <c r="Q49" i="5"/>
  <c r="P49" i="5"/>
  <c r="S48" i="5"/>
  <c r="Q48" i="5"/>
  <c r="P48" i="5"/>
  <c r="R48" i="5" s="1"/>
  <c r="S47" i="5"/>
  <c r="Q47" i="5"/>
  <c r="R47" i="5" s="1"/>
  <c r="P47" i="5"/>
  <c r="S46" i="5"/>
  <c r="Q46" i="5"/>
  <c r="P46" i="5"/>
  <c r="R46" i="5" s="1"/>
  <c r="S45" i="5"/>
  <c r="Q45" i="5"/>
  <c r="P45" i="5"/>
  <c r="S44" i="5"/>
  <c r="Q44" i="5"/>
  <c r="P44" i="5"/>
  <c r="R44" i="5" s="1"/>
  <c r="S43" i="5"/>
  <c r="Q43" i="5"/>
  <c r="P43" i="5"/>
  <c r="S42" i="5"/>
  <c r="Q42" i="5"/>
  <c r="P42" i="5"/>
  <c r="R42" i="5" s="1"/>
  <c r="S41" i="5"/>
  <c r="Q41" i="5"/>
  <c r="P41" i="5"/>
  <c r="S40" i="5"/>
  <c r="Q40" i="5"/>
  <c r="P40" i="5"/>
  <c r="R40" i="5" s="1"/>
  <c r="S39" i="5"/>
  <c r="Q39" i="5"/>
  <c r="P39" i="5"/>
  <c r="S38" i="5"/>
  <c r="Q38" i="5"/>
  <c r="P38" i="5"/>
  <c r="R38" i="5" s="1"/>
  <c r="S37" i="5"/>
  <c r="Q37" i="5"/>
  <c r="P37" i="5"/>
  <c r="S36" i="5"/>
  <c r="Q36" i="5"/>
  <c r="P36" i="5"/>
  <c r="R36" i="5" s="1"/>
  <c r="S35" i="5"/>
  <c r="Q35" i="5"/>
  <c r="P35" i="5"/>
  <c r="S34" i="5"/>
  <c r="Q34" i="5"/>
  <c r="P34" i="5"/>
  <c r="R34" i="5" s="1"/>
  <c r="S33" i="5"/>
  <c r="Q33" i="5"/>
  <c r="P33" i="5"/>
  <c r="S32" i="5"/>
  <c r="Q32" i="5"/>
  <c r="P32" i="5"/>
  <c r="R32" i="5" s="1"/>
  <c r="S31" i="5"/>
  <c r="Q31" i="5"/>
  <c r="P31" i="5"/>
  <c r="S30" i="5"/>
  <c r="Q30" i="5"/>
  <c r="P30" i="5"/>
  <c r="S29" i="5"/>
  <c r="Q29" i="5"/>
  <c r="R29" i="5" s="1"/>
  <c r="P29" i="5"/>
  <c r="S28" i="5"/>
  <c r="Q28" i="5"/>
  <c r="P28" i="5"/>
  <c r="S27" i="5"/>
  <c r="Q27" i="5"/>
  <c r="P27" i="5"/>
  <c r="S26" i="5"/>
  <c r="Q26" i="5"/>
  <c r="P26" i="5"/>
  <c r="R26" i="5" s="1"/>
  <c r="S25" i="5"/>
  <c r="Q25" i="5"/>
  <c r="P25" i="5"/>
  <c r="S24" i="5"/>
  <c r="Q24" i="5"/>
  <c r="P24" i="5"/>
  <c r="R24" i="5" s="1"/>
  <c r="S23" i="5"/>
  <c r="Q23" i="5"/>
  <c r="P23" i="5"/>
  <c r="S22" i="5"/>
  <c r="Q22" i="5"/>
  <c r="P22" i="5"/>
  <c r="S21" i="5"/>
  <c r="Q21" i="5"/>
  <c r="P21" i="5"/>
  <c r="S20" i="5"/>
  <c r="Q20" i="5"/>
  <c r="P20" i="5"/>
  <c r="R20" i="5" s="1"/>
  <c r="S19" i="5"/>
  <c r="Q19" i="5"/>
  <c r="R19" i="5" s="1"/>
  <c r="P19" i="5"/>
  <c r="S18" i="5"/>
  <c r="Q18" i="5"/>
  <c r="P18" i="5"/>
  <c r="R18" i="5" s="1"/>
  <c r="S17" i="5"/>
  <c r="Q17" i="5"/>
  <c r="P17" i="5"/>
  <c r="S16" i="5"/>
  <c r="Q16" i="5"/>
  <c r="P16" i="5"/>
  <c r="R16" i="5" s="1"/>
  <c r="S15" i="5"/>
  <c r="Q15" i="5"/>
  <c r="P15" i="5"/>
  <c r="S14" i="5"/>
  <c r="Q14" i="5"/>
  <c r="P14" i="5"/>
  <c r="R14" i="5" s="1"/>
  <c r="S13" i="5"/>
  <c r="Q13" i="5"/>
  <c r="P13" i="5"/>
  <c r="S12" i="5"/>
  <c r="Q12" i="5"/>
  <c r="P12" i="5"/>
  <c r="R12" i="5" s="1"/>
  <c r="S11" i="5"/>
  <c r="Q11" i="5"/>
  <c r="P11" i="5"/>
  <c r="S10" i="5"/>
  <c r="Q10" i="5"/>
  <c r="P10" i="5"/>
  <c r="R10" i="5" s="1"/>
  <c r="S9" i="5"/>
  <c r="Q9" i="5"/>
  <c r="P9" i="5"/>
  <c r="S8" i="5"/>
  <c r="Q8" i="5"/>
  <c r="P8" i="5"/>
  <c r="R8" i="5" s="1"/>
  <c r="S7" i="5"/>
  <c r="Q7" i="5"/>
  <c r="P7" i="5"/>
  <c r="S6" i="5"/>
  <c r="Q6" i="5"/>
  <c r="P6" i="5"/>
  <c r="R6" i="5" s="1"/>
  <c r="S5" i="5"/>
  <c r="Q5" i="5"/>
  <c r="P5" i="5"/>
  <c r="S4" i="5"/>
  <c r="Q4" i="5"/>
  <c r="P4" i="5"/>
  <c r="R4" i="5" s="1"/>
  <c r="S3" i="5"/>
  <c r="Q3" i="5"/>
  <c r="R3" i="5" s="1"/>
  <c r="P3" i="5"/>
  <c r="S2" i="5"/>
  <c r="Q2" i="5"/>
  <c r="P2" i="5"/>
  <c r="S119" i="3"/>
  <c r="Q119" i="3"/>
  <c r="R119" i="3" s="1"/>
  <c r="P119" i="3"/>
  <c r="S118" i="3"/>
  <c r="R118" i="3"/>
  <c r="Q118" i="3"/>
  <c r="P118" i="3"/>
  <c r="S117" i="3"/>
  <c r="Q117" i="3"/>
  <c r="P117" i="3"/>
  <c r="S116" i="3"/>
  <c r="Q116" i="3"/>
  <c r="R116" i="3" s="1"/>
  <c r="P116" i="3"/>
  <c r="S115" i="3"/>
  <c r="Q115" i="3"/>
  <c r="P115" i="3"/>
  <c r="S114" i="3"/>
  <c r="Q114" i="3"/>
  <c r="R114" i="3" s="1"/>
  <c r="P114" i="3"/>
  <c r="S113" i="3"/>
  <c r="Q113" i="3"/>
  <c r="P113" i="3"/>
  <c r="S112" i="3"/>
  <c r="Q112" i="3"/>
  <c r="R112" i="3" s="1"/>
  <c r="P112" i="3"/>
  <c r="S111" i="3"/>
  <c r="Q111" i="3"/>
  <c r="R111" i="3" s="1"/>
  <c r="P111" i="3"/>
  <c r="S110" i="3"/>
  <c r="R110" i="3"/>
  <c r="Q110" i="3"/>
  <c r="P110" i="3"/>
  <c r="S109" i="3"/>
  <c r="Q109" i="3"/>
  <c r="P109" i="3"/>
  <c r="S108" i="3"/>
  <c r="Q108" i="3"/>
  <c r="R108" i="3" s="1"/>
  <c r="P108" i="3"/>
  <c r="S107" i="3"/>
  <c r="Q107" i="3"/>
  <c r="P107" i="3"/>
  <c r="S106" i="3"/>
  <c r="Q106" i="3"/>
  <c r="R106" i="3" s="1"/>
  <c r="P106" i="3"/>
  <c r="S105" i="3"/>
  <c r="Q105" i="3"/>
  <c r="P105" i="3"/>
  <c r="S104" i="3"/>
  <c r="Q104" i="3"/>
  <c r="R104" i="3" s="1"/>
  <c r="P104" i="3"/>
  <c r="S103" i="3"/>
  <c r="Q103" i="3"/>
  <c r="R103" i="3" s="1"/>
  <c r="P103" i="3"/>
  <c r="S102" i="3"/>
  <c r="R102" i="3"/>
  <c r="Q102" i="3"/>
  <c r="P102" i="3"/>
  <c r="S101" i="3"/>
  <c r="Q101" i="3"/>
  <c r="P101" i="3"/>
  <c r="S100" i="3"/>
  <c r="Q100" i="3"/>
  <c r="R100" i="3" s="1"/>
  <c r="P100" i="3"/>
  <c r="S99" i="3"/>
  <c r="Q99" i="3"/>
  <c r="P99" i="3"/>
  <c r="S98" i="3"/>
  <c r="Q98" i="3"/>
  <c r="R98" i="3" s="1"/>
  <c r="P98" i="3"/>
  <c r="S97" i="3"/>
  <c r="Q97" i="3"/>
  <c r="P97" i="3"/>
  <c r="S96" i="3"/>
  <c r="Q96" i="3"/>
  <c r="R96" i="3" s="1"/>
  <c r="P96" i="3"/>
  <c r="S95" i="3"/>
  <c r="Q95" i="3"/>
  <c r="R95" i="3" s="1"/>
  <c r="P95" i="3"/>
  <c r="S94" i="3"/>
  <c r="R94" i="3"/>
  <c r="Q94" i="3"/>
  <c r="P94" i="3"/>
  <c r="S93" i="3"/>
  <c r="Q93" i="3"/>
  <c r="P93" i="3"/>
  <c r="S92" i="3"/>
  <c r="Q92" i="3"/>
  <c r="R92" i="3" s="1"/>
  <c r="P92" i="3"/>
  <c r="S91" i="3"/>
  <c r="Q91" i="3"/>
  <c r="P91" i="3"/>
  <c r="S90" i="3"/>
  <c r="Q90" i="3"/>
  <c r="R90" i="3" s="1"/>
  <c r="P90" i="3"/>
  <c r="S89" i="3"/>
  <c r="Q89" i="3"/>
  <c r="P89" i="3"/>
  <c r="S88" i="3"/>
  <c r="Q88" i="3"/>
  <c r="R88" i="3" s="1"/>
  <c r="P88" i="3"/>
  <c r="S87" i="3"/>
  <c r="Q87" i="3"/>
  <c r="R87" i="3" s="1"/>
  <c r="P87" i="3"/>
  <c r="S86" i="3"/>
  <c r="R86" i="3"/>
  <c r="Q86" i="3"/>
  <c r="P86" i="3"/>
  <c r="S85" i="3"/>
  <c r="Q85" i="3"/>
  <c r="P85" i="3"/>
  <c r="S84" i="3"/>
  <c r="Q84" i="3"/>
  <c r="R84" i="3" s="1"/>
  <c r="P84" i="3"/>
  <c r="S83" i="3"/>
  <c r="Q83" i="3"/>
  <c r="R83" i="3" s="1"/>
  <c r="S82" i="3"/>
  <c r="Q82" i="3"/>
  <c r="P82" i="3"/>
  <c r="S81" i="3"/>
  <c r="Q81" i="3"/>
  <c r="R81" i="3" s="1"/>
  <c r="P81" i="3"/>
  <c r="S80" i="3"/>
  <c r="Q80" i="3"/>
  <c r="P80" i="3"/>
  <c r="S79" i="3"/>
  <c r="Q79" i="3"/>
  <c r="R79" i="3" s="1"/>
  <c r="P79" i="3"/>
  <c r="S78" i="3"/>
  <c r="Q78" i="3"/>
  <c r="R78" i="3" s="1"/>
  <c r="P78" i="3"/>
  <c r="S77" i="3"/>
  <c r="Q77" i="3"/>
  <c r="R77" i="3" s="1"/>
  <c r="P77" i="3"/>
  <c r="S76" i="3"/>
  <c r="Q76" i="3"/>
  <c r="P76" i="3"/>
  <c r="S75" i="3"/>
  <c r="Q75" i="3"/>
  <c r="R75" i="3" s="1"/>
  <c r="P75" i="3"/>
  <c r="S74" i="3"/>
  <c r="Q74" i="3"/>
  <c r="P74" i="3"/>
  <c r="S73" i="3"/>
  <c r="Q73" i="3"/>
  <c r="R73" i="3" s="1"/>
  <c r="P73" i="3"/>
  <c r="S72" i="3"/>
  <c r="Q72" i="3"/>
  <c r="P72" i="3"/>
  <c r="S71" i="3"/>
  <c r="Q71" i="3"/>
  <c r="R71" i="3" s="1"/>
  <c r="P71" i="3"/>
  <c r="S70" i="3"/>
  <c r="Q70" i="3"/>
  <c r="R70" i="3" s="1"/>
  <c r="P70" i="3"/>
  <c r="S69" i="3"/>
  <c r="Q69" i="3"/>
  <c r="R69" i="3" s="1"/>
  <c r="P69" i="3"/>
  <c r="S68" i="3"/>
  <c r="Q68" i="3"/>
  <c r="P68" i="3"/>
  <c r="S67" i="3"/>
  <c r="Q67" i="3"/>
  <c r="R67" i="3" s="1"/>
  <c r="P67" i="3"/>
  <c r="S66" i="3"/>
  <c r="Q66" i="3"/>
  <c r="P66" i="3"/>
  <c r="S65" i="3"/>
  <c r="Q65" i="3"/>
  <c r="R65" i="3" s="1"/>
  <c r="P65" i="3"/>
  <c r="S64" i="3"/>
  <c r="Q64" i="3"/>
  <c r="P64" i="3"/>
  <c r="S63" i="3"/>
  <c r="Q63" i="3"/>
  <c r="R63" i="3" s="1"/>
  <c r="P63" i="3"/>
  <c r="S62" i="3"/>
  <c r="Q62" i="3"/>
  <c r="R62" i="3" s="1"/>
  <c r="P62" i="3"/>
  <c r="S61" i="3"/>
  <c r="Q61" i="3"/>
  <c r="R61" i="3" s="1"/>
  <c r="P61" i="3"/>
  <c r="S60" i="3"/>
  <c r="Q60" i="3"/>
  <c r="P60" i="3"/>
  <c r="S59" i="3"/>
  <c r="Q59" i="3"/>
  <c r="R59" i="3" s="1"/>
  <c r="P59" i="3"/>
  <c r="S58" i="3"/>
  <c r="Q58" i="3"/>
  <c r="P58" i="3"/>
  <c r="S57" i="3"/>
  <c r="Q57" i="3"/>
  <c r="R57" i="3" s="1"/>
  <c r="P57" i="3"/>
  <c r="S56" i="3"/>
  <c r="Q56" i="3"/>
  <c r="P56" i="3"/>
  <c r="S55" i="3"/>
  <c r="Q55" i="3"/>
  <c r="R55" i="3" s="1"/>
  <c r="P55" i="3"/>
  <c r="S54" i="3"/>
  <c r="Q54" i="3"/>
  <c r="R54" i="3" s="1"/>
  <c r="P54" i="3"/>
  <c r="S53" i="3"/>
  <c r="Q53" i="3"/>
  <c r="R53" i="3" s="1"/>
  <c r="P53" i="3"/>
  <c r="S52" i="3"/>
  <c r="Q52" i="3"/>
  <c r="P52" i="3"/>
  <c r="S51" i="3"/>
  <c r="Q51" i="3"/>
  <c r="R51" i="3" s="1"/>
  <c r="P51" i="3"/>
  <c r="S50" i="3"/>
  <c r="Q50" i="3"/>
  <c r="P50" i="3"/>
  <c r="S49" i="3"/>
  <c r="Q49" i="3"/>
  <c r="R49" i="3" s="1"/>
  <c r="P49" i="3"/>
  <c r="S48" i="3"/>
  <c r="Q48" i="3"/>
  <c r="P48" i="3"/>
  <c r="S47" i="3"/>
  <c r="Q47" i="3"/>
  <c r="R47" i="3" s="1"/>
  <c r="P47" i="3"/>
  <c r="S46" i="3"/>
  <c r="Q46" i="3"/>
  <c r="R46" i="3" s="1"/>
  <c r="P46" i="3"/>
  <c r="S45" i="3"/>
  <c r="Q45" i="3"/>
  <c r="R45" i="3" s="1"/>
  <c r="P45" i="3"/>
  <c r="S44" i="3"/>
  <c r="Q44" i="3"/>
  <c r="P44" i="3"/>
  <c r="S43" i="3"/>
  <c r="Q43" i="3"/>
  <c r="R43" i="3" s="1"/>
  <c r="P43" i="3"/>
  <c r="S42" i="3"/>
  <c r="Q42" i="3"/>
  <c r="P42" i="3"/>
  <c r="S41" i="3"/>
  <c r="Q41" i="3"/>
  <c r="R41" i="3" s="1"/>
  <c r="P41" i="3"/>
  <c r="S40" i="3"/>
  <c r="Q40" i="3"/>
  <c r="P40" i="3"/>
  <c r="S39" i="3"/>
  <c r="Q39" i="3"/>
  <c r="R39" i="3" s="1"/>
  <c r="P39" i="3"/>
  <c r="S38" i="3"/>
  <c r="Q38" i="3"/>
  <c r="R38" i="3" s="1"/>
  <c r="P38" i="3"/>
  <c r="S37" i="3"/>
  <c r="Q37" i="3"/>
  <c r="R37" i="3" s="1"/>
  <c r="P37" i="3"/>
  <c r="S36" i="3"/>
  <c r="Q36" i="3"/>
  <c r="P36" i="3"/>
  <c r="S35" i="3"/>
  <c r="Q35" i="3"/>
  <c r="R35" i="3" s="1"/>
  <c r="P35" i="3"/>
  <c r="S34" i="3"/>
  <c r="Q34" i="3"/>
  <c r="P34" i="3"/>
  <c r="S33" i="3"/>
  <c r="Q33" i="3"/>
  <c r="R33" i="3" s="1"/>
  <c r="P33" i="3"/>
  <c r="S32" i="3"/>
  <c r="Q32" i="3"/>
  <c r="P32" i="3"/>
  <c r="S31" i="3"/>
  <c r="Q31" i="3"/>
  <c r="R31" i="3" s="1"/>
  <c r="P31" i="3"/>
  <c r="S30" i="3"/>
  <c r="Q30" i="3"/>
  <c r="R30" i="3" s="1"/>
  <c r="P30" i="3"/>
  <c r="S29" i="3"/>
  <c r="Q29" i="3"/>
  <c r="R29" i="3" s="1"/>
  <c r="P29" i="3"/>
  <c r="S28" i="3"/>
  <c r="Q28" i="3"/>
  <c r="P28" i="3"/>
  <c r="S27" i="3"/>
  <c r="Q27" i="3"/>
  <c r="R27" i="3" s="1"/>
  <c r="P27" i="3"/>
  <c r="S26" i="3"/>
  <c r="Q26" i="3"/>
  <c r="P26" i="3"/>
  <c r="S25" i="3"/>
  <c r="Q25" i="3"/>
  <c r="R25" i="3" s="1"/>
  <c r="P25" i="3"/>
  <c r="S24" i="3"/>
  <c r="Q24" i="3"/>
  <c r="P24" i="3"/>
  <c r="S23" i="3"/>
  <c r="Q23" i="3"/>
  <c r="R23" i="3" s="1"/>
  <c r="P23" i="3"/>
  <c r="S22" i="3"/>
  <c r="Q22" i="3"/>
  <c r="R22" i="3" s="1"/>
  <c r="P22" i="3"/>
  <c r="S21" i="3"/>
  <c r="Q21" i="3"/>
  <c r="R21" i="3" s="1"/>
  <c r="P21" i="3"/>
  <c r="S20" i="3"/>
  <c r="Q20" i="3"/>
  <c r="P20" i="3"/>
  <c r="S19" i="3"/>
  <c r="Q19" i="3"/>
  <c r="R19" i="3" s="1"/>
  <c r="P19" i="3"/>
  <c r="S18" i="3"/>
  <c r="Q18" i="3"/>
  <c r="P18" i="3"/>
  <c r="S17" i="3"/>
  <c r="Q17" i="3"/>
  <c r="R17" i="3" s="1"/>
  <c r="P17" i="3"/>
  <c r="S16" i="3"/>
  <c r="Q16" i="3"/>
  <c r="P16" i="3"/>
  <c r="S15" i="3"/>
  <c r="Q15" i="3"/>
  <c r="R15" i="3" s="1"/>
  <c r="P15" i="3"/>
  <c r="S14" i="3"/>
  <c r="Q14" i="3"/>
  <c r="R14" i="3" s="1"/>
  <c r="P14" i="3"/>
  <c r="S13" i="3"/>
  <c r="Q13" i="3"/>
  <c r="R13" i="3" s="1"/>
  <c r="P13" i="3"/>
  <c r="S12" i="3"/>
  <c r="Q12" i="3"/>
  <c r="P12" i="3"/>
  <c r="S11" i="3"/>
  <c r="Q11" i="3"/>
  <c r="R11" i="3" s="1"/>
  <c r="P11" i="3"/>
  <c r="S10" i="3"/>
  <c r="Q10" i="3"/>
  <c r="P10" i="3"/>
  <c r="S9" i="3"/>
  <c r="Q9" i="3"/>
  <c r="R9" i="3" s="1"/>
  <c r="P9" i="3"/>
  <c r="S8" i="3"/>
  <c r="Q8" i="3"/>
  <c r="P8" i="3"/>
  <c r="S7" i="3"/>
  <c r="Q7" i="3"/>
  <c r="R7" i="3" s="1"/>
  <c r="P7" i="3"/>
  <c r="S6" i="3"/>
  <c r="Q6" i="3"/>
  <c r="R6" i="3" s="1"/>
  <c r="P6" i="3"/>
  <c r="S5" i="3"/>
  <c r="Q5" i="3"/>
  <c r="R5" i="3" s="1"/>
  <c r="P5" i="3"/>
  <c r="S4" i="3"/>
  <c r="Q4" i="3"/>
  <c r="P4" i="3"/>
  <c r="S3" i="3"/>
  <c r="Q3" i="3"/>
  <c r="R3" i="3" s="1"/>
  <c r="P3" i="3"/>
  <c r="S2" i="3"/>
  <c r="Q2" i="3"/>
  <c r="P2" i="3"/>
  <c r="Z33" i="2"/>
  <c r="Y33" i="2"/>
  <c r="X33" i="2"/>
  <c r="Z119" i="2"/>
  <c r="Y119" i="2"/>
  <c r="AB119" i="2" s="1"/>
  <c r="X119" i="2"/>
  <c r="AF118" i="2"/>
  <c r="AD118" i="2"/>
  <c r="Z118" i="2"/>
  <c r="Y118" i="2"/>
  <c r="X118" i="2"/>
  <c r="Z117" i="2"/>
  <c r="AF117" i="2" s="1"/>
  <c r="Y117" i="2"/>
  <c r="AB117" i="2" s="1"/>
  <c r="X117" i="2"/>
  <c r="Z116" i="2"/>
  <c r="Y116" i="2"/>
  <c r="X116" i="2"/>
  <c r="Z115" i="2"/>
  <c r="Y115" i="2"/>
  <c r="X115" i="2"/>
  <c r="Z114" i="2"/>
  <c r="AD114" i="2" s="1"/>
  <c r="Y114" i="2"/>
  <c r="X114" i="2"/>
  <c r="Z113" i="2"/>
  <c r="AF113" i="2" s="1"/>
  <c r="Y113" i="2"/>
  <c r="X113" i="2"/>
  <c r="Z112" i="2"/>
  <c r="Y112" i="2"/>
  <c r="AB112" i="2" s="1"/>
  <c r="X112" i="2"/>
  <c r="Z111" i="2"/>
  <c r="Y111" i="2"/>
  <c r="X111" i="2"/>
  <c r="Z110" i="2"/>
  <c r="AF110" i="2" s="1"/>
  <c r="Y110" i="2"/>
  <c r="X110" i="2"/>
  <c r="Z109" i="2"/>
  <c r="AF109" i="2" s="1"/>
  <c r="Y109" i="2"/>
  <c r="X109" i="2"/>
  <c r="AB109" i="2" s="1"/>
  <c r="Z108" i="2"/>
  <c r="Y108" i="2"/>
  <c r="X108" i="2"/>
  <c r="Z107" i="2"/>
  <c r="Y107" i="2"/>
  <c r="X107" i="2"/>
  <c r="Z106" i="2"/>
  <c r="Y106" i="2"/>
  <c r="X106" i="2"/>
  <c r="Z105" i="2"/>
  <c r="Y105" i="2"/>
  <c r="AB105" i="2" s="1"/>
  <c r="X105" i="2"/>
  <c r="Z104" i="2"/>
  <c r="AF104" i="2" s="1"/>
  <c r="Y104" i="2"/>
  <c r="X104" i="2"/>
  <c r="Z103" i="2"/>
  <c r="AF103" i="2" s="1"/>
  <c r="Y103" i="2"/>
  <c r="X103" i="2"/>
  <c r="AF102" i="2"/>
  <c r="Z102" i="2"/>
  <c r="AD102" i="2" s="1"/>
  <c r="Y102" i="2"/>
  <c r="AB102" i="2" s="1"/>
  <c r="X102" i="2"/>
  <c r="Z101" i="2"/>
  <c r="Y101" i="2"/>
  <c r="AB101" i="2" s="1"/>
  <c r="X101" i="2"/>
  <c r="Z100" i="2"/>
  <c r="Y100" i="2"/>
  <c r="X100" i="2"/>
  <c r="Z99" i="2"/>
  <c r="Y99" i="2"/>
  <c r="X99" i="2"/>
  <c r="Z98" i="2"/>
  <c r="Y98" i="2"/>
  <c r="X98" i="2"/>
  <c r="Z97" i="2"/>
  <c r="Y97" i="2"/>
  <c r="AB97" i="2" s="1"/>
  <c r="X97" i="2"/>
  <c r="Z96" i="2"/>
  <c r="Y96" i="2"/>
  <c r="AB96" i="2" s="1"/>
  <c r="X96" i="2"/>
  <c r="Z95" i="2"/>
  <c r="Y95" i="2"/>
  <c r="AB95" i="2" s="1"/>
  <c r="X95" i="2"/>
  <c r="AF94" i="2"/>
  <c r="Z94" i="2"/>
  <c r="Y94" i="2"/>
  <c r="X94" i="2"/>
  <c r="AD94" i="2" s="1"/>
  <c r="Z93" i="2"/>
  <c r="Y93" i="2"/>
  <c r="AB93" i="2" s="1"/>
  <c r="X93" i="2"/>
  <c r="Z92" i="2"/>
  <c r="Y92" i="2"/>
  <c r="X92" i="2"/>
  <c r="Z91" i="2"/>
  <c r="Y91" i="2"/>
  <c r="X91" i="2"/>
  <c r="Z90" i="2"/>
  <c r="AD90" i="2" s="1"/>
  <c r="Y90" i="2"/>
  <c r="X90" i="2"/>
  <c r="AB89" i="2"/>
  <c r="Z89" i="2"/>
  <c r="Y89" i="2"/>
  <c r="X89" i="2"/>
  <c r="Z88" i="2"/>
  <c r="Y88" i="2"/>
  <c r="X88" i="2"/>
  <c r="Z87" i="2"/>
  <c r="Y87" i="2"/>
  <c r="AB87" i="2" s="1"/>
  <c r="X87" i="2"/>
  <c r="Z86" i="2"/>
  <c r="AF86" i="2" s="1"/>
  <c r="Y86" i="2"/>
  <c r="X86" i="2"/>
  <c r="Z85" i="2"/>
  <c r="Y85" i="2"/>
  <c r="AB85" i="2" s="1"/>
  <c r="X85" i="2"/>
  <c r="Z84" i="2"/>
  <c r="Y84" i="2"/>
  <c r="X84" i="2"/>
  <c r="Z83" i="2"/>
  <c r="Y83" i="2"/>
  <c r="X83" i="2"/>
  <c r="Z82" i="2"/>
  <c r="AD82" i="2" s="1"/>
  <c r="Y82" i="2"/>
  <c r="AB82" i="2" s="1"/>
  <c r="X82" i="2"/>
  <c r="AB81" i="2"/>
  <c r="Z81" i="2"/>
  <c r="AF81" i="2" s="1"/>
  <c r="Y81" i="2"/>
  <c r="X81" i="2"/>
  <c r="Z80" i="2"/>
  <c r="AF80" i="2" s="1"/>
  <c r="Y80" i="2"/>
  <c r="X80" i="2"/>
  <c r="Z79" i="2"/>
  <c r="AF79" i="2" s="1"/>
  <c r="Y79" i="2"/>
  <c r="AB79" i="2" s="1"/>
  <c r="X79" i="2"/>
  <c r="Z78" i="2"/>
  <c r="AF78" i="2" s="1"/>
  <c r="Y78" i="2"/>
  <c r="X78" i="2"/>
  <c r="Z77" i="2"/>
  <c r="Y77" i="2"/>
  <c r="AB77" i="2" s="1"/>
  <c r="X77" i="2"/>
  <c r="Z76" i="2"/>
  <c r="Y76" i="2"/>
  <c r="X76" i="2"/>
  <c r="Z75" i="2"/>
  <c r="Y75" i="2"/>
  <c r="X75" i="2"/>
  <c r="AF74" i="2"/>
  <c r="AD74" i="2"/>
  <c r="Z74" i="2"/>
  <c r="Y74" i="2"/>
  <c r="X74" i="2"/>
  <c r="Z73" i="2"/>
  <c r="Y73" i="2"/>
  <c r="AB73" i="2" s="1"/>
  <c r="X73" i="2"/>
  <c r="Z72" i="2"/>
  <c r="AF72" i="2" s="1"/>
  <c r="Y72" i="2"/>
  <c r="AB72" i="2" s="1"/>
  <c r="X72" i="2"/>
  <c r="Z71" i="2"/>
  <c r="Y71" i="2"/>
  <c r="X71" i="2"/>
  <c r="Z70" i="2"/>
  <c r="AD70" i="2" s="1"/>
  <c r="Y70" i="2"/>
  <c r="X70" i="2"/>
  <c r="Z69" i="2"/>
  <c r="Y69" i="2"/>
  <c r="X69" i="2"/>
  <c r="Z68" i="2"/>
  <c r="Y68" i="2"/>
  <c r="X68" i="2"/>
  <c r="Z67" i="2"/>
  <c r="Y67" i="2"/>
  <c r="X67" i="2"/>
  <c r="AD67" i="2" s="1"/>
  <c r="Z66" i="2"/>
  <c r="AF66" i="2" s="1"/>
  <c r="Y66" i="2"/>
  <c r="X66" i="2"/>
  <c r="AB65" i="2"/>
  <c r="Z65" i="2"/>
  <c r="Y65" i="2"/>
  <c r="X65" i="2"/>
  <c r="Z64" i="2"/>
  <c r="AF64" i="2" s="1"/>
  <c r="Y64" i="2"/>
  <c r="X64" i="2"/>
  <c r="Z63" i="2"/>
  <c r="Y63" i="2"/>
  <c r="X63" i="2"/>
  <c r="Z62" i="2"/>
  <c r="AD62" i="2" s="1"/>
  <c r="Y62" i="2"/>
  <c r="X62" i="2"/>
  <c r="Z61" i="2"/>
  <c r="Y61" i="2"/>
  <c r="X61" i="2"/>
  <c r="Z60" i="2"/>
  <c r="AF60" i="2" s="1"/>
  <c r="Y60" i="2"/>
  <c r="X60" i="2"/>
  <c r="Z59" i="2"/>
  <c r="AF59" i="2" s="1"/>
  <c r="Y59" i="2"/>
  <c r="X59" i="2"/>
  <c r="AF58" i="2"/>
  <c r="Z58" i="2"/>
  <c r="AD58" i="2" s="1"/>
  <c r="Y58" i="2"/>
  <c r="AB58" i="2" s="1"/>
  <c r="X58" i="2"/>
  <c r="AB57" i="2"/>
  <c r="Z57" i="2"/>
  <c r="AF57" i="2" s="1"/>
  <c r="Y57" i="2"/>
  <c r="X57" i="2"/>
  <c r="Z56" i="2"/>
  <c r="Y56" i="2"/>
  <c r="X56" i="2"/>
  <c r="Z55" i="2"/>
  <c r="Y55" i="2"/>
  <c r="X55" i="2"/>
  <c r="Z54" i="2"/>
  <c r="AF54" i="2" s="1"/>
  <c r="Y54" i="2"/>
  <c r="X54" i="2"/>
  <c r="AB53" i="2"/>
  <c r="Z53" i="2"/>
  <c r="AF53" i="2" s="1"/>
  <c r="Y53" i="2"/>
  <c r="X53" i="2"/>
  <c r="Z52" i="2"/>
  <c r="Y52" i="2"/>
  <c r="AB52" i="2" s="1"/>
  <c r="X52" i="2"/>
  <c r="Z51" i="2"/>
  <c r="Y51" i="2"/>
  <c r="AB51" i="2" s="1"/>
  <c r="X51" i="2"/>
  <c r="AF50" i="2"/>
  <c r="AD50" i="2"/>
  <c r="Z50" i="2"/>
  <c r="Y50" i="2"/>
  <c r="AB50" i="2" s="1"/>
  <c r="X50" i="2"/>
  <c r="Z49" i="2"/>
  <c r="Y49" i="2"/>
  <c r="AB49" i="2" s="1"/>
  <c r="X49" i="2"/>
  <c r="Z48" i="2"/>
  <c r="Y48" i="2"/>
  <c r="X48" i="2"/>
  <c r="Z47" i="2"/>
  <c r="Y47" i="2"/>
  <c r="X47" i="2"/>
  <c r="Z46" i="2"/>
  <c r="Y46" i="2"/>
  <c r="X46" i="2"/>
  <c r="Z45" i="2"/>
  <c r="Y45" i="2"/>
  <c r="AB45" i="2" s="1"/>
  <c r="X45" i="2"/>
  <c r="Z44" i="2"/>
  <c r="Y44" i="2"/>
  <c r="X44" i="2"/>
  <c r="Z43" i="2"/>
  <c r="Y43" i="2"/>
  <c r="X43" i="2"/>
  <c r="AD43" i="2" s="1"/>
  <c r="AD42" i="2"/>
  <c r="Z42" i="2"/>
  <c r="AF42" i="2" s="1"/>
  <c r="Y42" i="2"/>
  <c r="AB42" i="2" s="1"/>
  <c r="X42" i="2"/>
  <c r="Z41" i="2"/>
  <c r="Y41" i="2"/>
  <c r="AB41" i="2" s="1"/>
  <c r="X41" i="2"/>
  <c r="Z40" i="2"/>
  <c r="Y40" i="2"/>
  <c r="X40" i="2"/>
  <c r="Z39" i="2"/>
  <c r="Y39" i="2"/>
  <c r="X39" i="2"/>
  <c r="Z38" i="2"/>
  <c r="AF38" i="2" s="1"/>
  <c r="Y38" i="2"/>
  <c r="X38" i="2"/>
  <c r="AB37" i="2"/>
  <c r="Z37" i="2"/>
  <c r="Y37" i="2"/>
  <c r="X37" i="2"/>
  <c r="Z36" i="2"/>
  <c r="Y36" i="2"/>
  <c r="X36" i="2"/>
  <c r="Z35" i="2"/>
  <c r="AF35" i="2" s="1"/>
  <c r="Y35" i="2"/>
  <c r="AB35" i="2" s="1"/>
  <c r="X35" i="2"/>
  <c r="Z34" i="2"/>
  <c r="AD34" i="2" s="1"/>
  <c r="Y34" i="2"/>
  <c r="X34" i="2"/>
  <c r="Z32" i="2"/>
  <c r="Y32" i="2"/>
  <c r="X32" i="2"/>
  <c r="Z31" i="2"/>
  <c r="Y31" i="2"/>
  <c r="X31" i="2"/>
  <c r="Z30" i="2"/>
  <c r="AF30" i="2" s="1"/>
  <c r="Y30" i="2"/>
  <c r="AB30" i="2" s="1"/>
  <c r="X30" i="2"/>
  <c r="AB29" i="2"/>
  <c r="Z29" i="2"/>
  <c r="AF29" i="2" s="1"/>
  <c r="Y29" i="2"/>
  <c r="X29" i="2"/>
  <c r="Z28" i="2"/>
  <c r="AF28" i="2" s="1"/>
  <c r="Y28" i="2"/>
  <c r="X28" i="2"/>
  <c r="AF27" i="2"/>
  <c r="Z27" i="2"/>
  <c r="Y27" i="2"/>
  <c r="X27" i="2"/>
  <c r="Z26" i="2"/>
  <c r="Y26" i="2"/>
  <c r="AB26" i="2" s="1"/>
  <c r="X26" i="2"/>
  <c r="Z25" i="2"/>
  <c r="Y25" i="2"/>
  <c r="X25" i="2"/>
  <c r="Z24" i="2"/>
  <c r="Y24" i="2"/>
  <c r="X24" i="2"/>
  <c r="Z23" i="2"/>
  <c r="AD23" i="2" s="1"/>
  <c r="Y23" i="2"/>
  <c r="AB23" i="2" s="1"/>
  <c r="X23" i="2"/>
  <c r="AF22" i="2"/>
  <c r="AB22" i="2"/>
  <c r="Z22" i="2"/>
  <c r="Y22" i="2"/>
  <c r="X22" i="2"/>
  <c r="AB21" i="2"/>
  <c r="Z21" i="2"/>
  <c r="AF21" i="2" s="1"/>
  <c r="Y21" i="2"/>
  <c r="X21" i="2"/>
  <c r="Z20" i="2"/>
  <c r="Y20" i="2"/>
  <c r="X20" i="2"/>
  <c r="Z19" i="2"/>
  <c r="Y19" i="2"/>
  <c r="X19" i="2"/>
  <c r="Z18" i="2"/>
  <c r="Y18" i="2"/>
  <c r="X18" i="2"/>
  <c r="Z17" i="2"/>
  <c r="Y17" i="2"/>
  <c r="AB17" i="2" s="1"/>
  <c r="X17" i="2"/>
  <c r="Z16" i="2"/>
  <c r="Y16" i="2"/>
  <c r="X16" i="2"/>
  <c r="Z15" i="2"/>
  <c r="AD15" i="2" s="1"/>
  <c r="Y15" i="2"/>
  <c r="AB15" i="2" s="1"/>
  <c r="X15" i="2"/>
  <c r="AF14" i="2"/>
  <c r="Z14" i="2"/>
  <c r="Y14" i="2"/>
  <c r="X14" i="2"/>
  <c r="AB14" i="2" s="1"/>
  <c r="Z13" i="2"/>
  <c r="Y13" i="2"/>
  <c r="AB13" i="2" s="1"/>
  <c r="X13" i="2"/>
  <c r="Z12" i="2"/>
  <c r="Y12" i="2"/>
  <c r="X12" i="2"/>
  <c r="Z11" i="2"/>
  <c r="Y11" i="2"/>
  <c r="X11" i="2"/>
  <c r="AF10" i="2"/>
  <c r="Z10" i="2"/>
  <c r="Y10" i="2"/>
  <c r="X10" i="2"/>
  <c r="AB10" i="2" s="1"/>
  <c r="AB9" i="2"/>
  <c r="Z9" i="2"/>
  <c r="AF9" i="2" s="1"/>
  <c r="Y9" i="2"/>
  <c r="X9" i="2"/>
  <c r="Z8" i="2"/>
  <c r="AF8" i="2" s="1"/>
  <c r="Y8" i="2"/>
  <c r="X8" i="2"/>
  <c r="Z7" i="2"/>
  <c r="AF7" i="2" s="1"/>
  <c r="Y7" i="2"/>
  <c r="AB7" i="2" s="1"/>
  <c r="X7" i="2"/>
  <c r="Z6" i="2"/>
  <c r="Y6" i="2"/>
  <c r="X6" i="2"/>
  <c r="AB6" i="2" s="1"/>
  <c r="Z5" i="2"/>
  <c r="Y5" i="2"/>
  <c r="AB5" i="2" s="1"/>
  <c r="X5" i="2"/>
  <c r="Z4" i="2"/>
  <c r="Y4" i="2"/>
  <c r="X4" i="2"/>
  <c r="Z3" i="2"/>
  <c r="Y3" i="2"/>
  <c r="AB3" i="2" s="1"/>
  <c r="X3" i="2"/>
  <c r="Z2" i="2"/>
  <c r="AD2" i="2" s="1"/>
  <c r="Y2" i="2"/>
  <c r="X2" i="2"/>
  <c r="AB2" i="2" s="1"/>
  <c r="AF3" i="2" l="1"/>
  <c r="AB38" i="2"/>
  <c r="AD38" i="2"/>
  <c r="AF90" i="2"/>
  <c r="R79" i="5"/>
  <c r="AB31" i="2"/>
  <c r="R97" i="3"/>
  <c r="AB75" i="2"/>
  <c r="AB24" i="2"/>
  <c r="AF75" i="2"/>
  <c r="AF24" i="2"/>
  <c r="AB67" i="2"/>
  <c r="AF17" i="2"/>
  <c r="AB76" i="2"/>
  <c r="AB25" i="2"/>
  <c r="AD17" i="2"/>
  <c r="AB68" i="2"/>
  <c r="AF119" i="2"/>
  <c r="AB18" i="2"/>
  <c r="AB33" i="2"/>
  <c r="AD10" i="2"/>
  <c r="AB60" i="2"/>
  <c r="AB69" i="2"/>
  <c r="AF33" i="2"/>
  <c r="AF105" i="2"/>
  <c r="AF97" i="2"/>
  <c r="AD106" i="2"/>
  <c r="AB98" i="2"/>
  <c r="R113" i="3"/>
  <c r="R13" i="5"/>
  <c r="R69" i="5"/>
  <c r="AF82" i="2"/>
  <c r="R105" i="3"/>
  <c r="R23" i="5"/>
  <c r="AF23" i="2"/>
  <c r="AB83" i="2"/>
  <c r="AF83" i="2"/>
  <c r="R89" i="3"/>
  <c r="AF67" i="2"/>
  <c r="AF2" i="2"/>
  <c r="AB61" i="2"/>
  <c r="AF45" i="2"/>
  <c r="AB4" i="2"/>
  <c r="AB46" i="2"/>
  <c r="AD46" i="2"/>
  <c r="AF46" i="2"/>
  <c r="AB106" i="2"/>
  <c r="AB90" i="2"/>
  <c r="AD30" i="2"/>
  <c r="AF98" i="2"/>
  <c r="AD98" i="2"/>
  <c r="R41" i="5"/>
  <c r="R97" i="5"/>
  <c r="R51" i="5"/>
  <c r="AF31" i="2"/>
  <c r="AF68" i="2"/>
  <c r="AF52" i="2"/>
  <c r="AF112" i="2"/>
  <c r="R2" i="3"/>
  <c r="AB11" i="2"/>
  <c r="AD11" i="2"/>
  <c r="AF11" i="2"/>
  <c r="AF61" i="2"/>
  <c r="AB113" i="2"/>
  <c r="R18" i="3"/>
  <c r="R58" i="3"/>
  <c r="AF76" i="2"/>
  <c r="AB84" i="2"/>
  <c r="R43" i="5"/>
  <c r="R71" i="5"/>
  <c r="AD54" i="2"/>
  <c r="AF5" i="2"/>
  <c r="AB92" i="2"/>
  <c r="R109" i="5"/>
  <c r="AB19" i="2"/>
  <c r="AB70" i="2"/>
  <c r="AF92" i="2"/>
  <c r="AF114" i="2"/>
  <c r="AD19" i="2"/>
  <c r="AF107" i="2"/>
  <c r="AD26" i="2"/>
  <c r="R12" i="3"/>
  <c r="R52" i="3"/>
  <c r="R17" i="5"/>
  <c r="R45" i="5"/>
  <c r="AD6" i="2"/>
  <c r="R55" i="5"/>
  <c r="R111" i="5"/>
  <c r="AB27" i="2"/>
  <c r="AF34" i="2"/>
  <c r="AF49" i="2"/>
  <c r="AB64" i="2"/>
  <c r="AF71" i="2"/>
  <c r="AD86" i="2"/>
  <c r="AB94" i="2"/>
  <c r="AF116" i="2"/>
  <c r="R26" i="3"/>
  <c r="R66" i="3"/>
  <c r="R89" i="5"/>
  <c r="AD18" i="2"/>
  <c r="AB91" i="2"/>
  <c r="AF25" i="2"/>
  <c r="R91" i="3"/>
  <c r="AF106" i="2"/>
  <c r="AF12" i="2"/>
  <c r="AD25" i="2"/>
  <c r="AB47" i="2"/>
  <c r="AF77" i="2"/>
  <c r="AF40" i="2"/>
  <c r="AB55" i="2"/>
  <c r="AF85" i="2"/>
  <c r="R7" i="5"/>
  <c r="R35" i="5"/>
  <c r="R119" i="5"/>
  <c r="AF13" i="2"/>
  <c r="AB48" i="2"/>
  <c r="AB78" i="2"/>
  <c r="R4" i="3"/>
  <c r="R28" i="3"/>
  <c r="R44" i="3"/>
  <c r="R60" i="3"/>
  <c r="R76" i="3"/>
  <c r="AB34" i="2"/>
  <c r="AB63" i="2"/>
  <c r="AF70" i="2"/>
  <c r="AF93" i="2"/>
  <c r="AB108" i="2"/>
  <c r="AF115" i="2"/>
  <c r="R101" i="5"/>
  <c r="AB20" i="2"/>
  <c r="R85" i="3"/>
  <c r="R93" i="3"/>
  <c r="R101" i="3"/>
  <c r="R117" i="3"/>
  <c r="AF6" i="2"/>
  <c r="AF20" i="2"/>
  <c r="AB71" i="2"/>
  <c r="AF101" i="2"/>
  <c r="R83" i="5"/>
  <c r="AD14" i="2"/>
  <c r="AD27" i="2"/>
  <c r="R9" i="5"/>
  <c r="R28" i="5"/>
  <c r="R37" i="5"/>
  <c r="R56" i="5"/>
  <c r="R65" i="5"/>
  <c r="R84" i="5"/>
  <c r="R93" i="5"/>
  <c r="R112" i="5"/>
  <c r="R10" i="3"/>
  <c r="R50" i="3"/>
  <c r="R74" i="3"/>
  <c r="R5" i="5"/>
  <c r="R33" i="5"/>
  <c r="R61" i="5"/>
  <c r="AF39" i="2"/>
  <c r="AF91" i="2"/>
  <c r="AB114" i="2"/>
  <c r="R99" i="3"/>
  <c r="AB12" i="2"/>
  <c r="AD39" i="2"/>
  <c r="AB32" i="2"/>
  <c r="R25" i="5"/>
  <c r="R53" i="5"/>
  <c r="AF32" i="2"/>
  <c r="AD5" i="2"/>
  <c r="AF62" i="2"/>
  <c r="R63" i="5"/>
  <c r="AF19" i="2"/>
  <c r="AF55" i="2"/>
  <c r="AB115" i="2"/>
  <c r="R20" i="3"/>
  <c r="R36" i="3"/>
  <c r="R68" i="3"/>
  <c r="AF48" i="2"/>
  <c r="R73" i="5"/>
  <c r="AD13" i="2"/>
  <c r="AF41" i="2"/>
  <c r="AF63" i="2"/>
  <c r="AD78" i="2"/>
  <c r="AB86" i="2"/>
  <c r="R109" i="3"/>
  <c r="AF56" i="2"/>
  <c r="AB116" i="2"/>
  <c r="R27" i="5"/>
  <c r="R42" i="3"/>
  <c r="R82" i="3"/>
  <c r="AF84" i="2"/>
  <c r="AF99" i="2"/>
  <c r="AB40" i="2"/>
  <c r="AF26" i="2"/>
  <c r="AB56" i="2"/>
  <c r="AF108" i="2"/>
  <c r="AB8" i="2"/>
  <c r="AD21" i="2"/>
  <c r="AB28" i="2"/>
  <c r="AD35" i="2"/>
  <c r="AF65" i="2"/>
  <c r="AB80" i="2"/>
  <c r="AF87" i="2"/>
  <c r="AB110" i="2"/>
  <c r="R104" i="5"/>
  <c r="R113" i="5"/>
  <c r="R34" i="3"/>
  <c r="AF4" i="2"/>
  <c r="AB39" i="2"/>
  <c r="AB54" i="2"/>
  <c r="AF69" i="2"/>
  <c r="R107" i="3"/>
  <c r="R115" i="3"/>
  <c r="R15" i="5"/>
  <c r="R99" i="5"/>
  <c r="AF18" i="2"/>
  <c r="AB99" i="2"/>
  <c r="R81" i="5"/>
  <c r="AF47" i="2"/>
  <c r="AB107" i="2"/>
  <c r="AB100" i="2"/>
  <c r="R91" i="5"/>
  <c r="AF100" i="2"/>
  <c r="AB36" i="2"/>
  <c r="AB43" i="2"/>
  <c r="AF73" i="2"/>
  <c r="AB88" i="2"/>
  <c r="AF95" i="2"/>
  <c r="AD110" i="2"/>
  <c r="AB118" i="2"/>
  <c r="AF15" i="2"/>
  <c r="AD22" i="2"/>
  <c r="AF36" i="2"/>
  <c r="AF43" i="2"/>
  <c r="AB66" i="2"/>
  <c r="AF88" i="2"/>
  <c r="AB103" i="2"/>
  <c r="R2" i="5"/>
  <c r="R11" i="5"/>
  <c r="R30" i="5"/>
  <c r="R39" i="5"/>
  <c r="R58" i="5"/>
  <c r="R67" i="5"/>
  <c r="R86" i="5"/>
  <c r="R95" i="5"/>
  <c r="AD31" i="2"/>
  <c r="AB62" i="2"/>
  <c r="AB16" i="2"/>
  <c r="AB44" i="2"/>
  <c r="AF51" i="2"/>
  <c r="AD66" i="2"/>
  <c r="AB74" i="2"/>
  <c r="AF96" i="2"/>
  <c r="AB111" i="2"/>
  <c r="R21" i="5"/>
  <c r="R49" i="5"/>
  <c r="R77" i="5"/>
  <c r="AD9" i="2"/>
  <c r="AF16" i="2"/>
  <c r="AD29" i="2"/>
  <c r="AF37" i="2"/>
  <c r="AF44" i="2"/>
  <c r="AB59" i="2"/>
  <c r="AF89" i="2"/>
  <c r="AB104" i="2"/>
  <c r="AF111" i="2"/>
  <c r="R8" i="3"/>
  <c r="R16" i="3"/>
  <c r="R24" i="3"/>
  <c r="R32" i="3"/>
  <c r="R40" i="3"/>
  <c r="R48" i="3"/>
  <c r="R56" i="3"/>
  <c r="R64" i="3"/>
  <c r="R72" i="3"/>
  <c r="R80" i="3"/>
  <c r="R22" i="5"/>
  <c r="R31" i="5"/>
  <c r="R50" i="5"/>
  <c r="R59" i="5"/>
  <c r="R78" i="5"/>
  <c r="R87" i="5"/>
  <c r="R106" i="5"/>
  <c r="R108" i="5"/>
  <c r="R117" i="5"/>
  <c r="AD33" i="2"/>
  <c r="AD37" i="2"/>
  <c r="AD41" i="2"/>
  <c r="AD45" i="2"/>
  <c r="AD49" i="2"/>
  <c r="AD53" i="2"/>
  <c r="AD57" i="2"/>
  <c r="AD61" i="2"/>
  <c r="AD65" i="2"/>
  <c r="AD69" i="2"/>
  <c r="AD73" i="2"/>
  <c r="AD77" i="2"/>
  <c r="AD81" i="2"/>
  <c r="AD85" i="2"/>
  <c r="AD89" i="2"/>
  <c r="AD93" i="2"/>
  <c r="AD97" i="2"/>
  <c r="AD101" i="2"/>
  <c r="AD105" i="2"/>
  <c r="AD109" i="2"/>
  <c r="AD113" i="2"/>
  <c r="AD117" i="2"/>
  <c r="AD4" i="2"/>
  <c r="AD8" i="2"/>
  <c r="AD12" i="2"/>
  <c r="AD16" i="2"/>
  <c r="AD20" i="2"/>
  <c r="AD24" i="2"/>
  <c r="AD28" i="2"/>
  <c r="AD32" i="2"/>
  <c r="AD36" i="2"/>
  <c r="AD40" i="2"/>
  <c r="AD44" i="2"/>
  <c r="AD48" i="2"/>
  <c r="AD52" i="2"/>
  <c r="AD56" i="2"/>
  <c r="AD60" i="2"/>
  <c r="AD64" i="2"/>
  <c r="AD68" i="2"/>
  <c r="AD72" i="2"/>
  <c r="AD76" i="2"/>
  <c r="AD80" i="2"/>
  <c r="AD84" i="2"/>
  <c r="AD88" i="2"/>
  <c r="AD92" i="2"/>
  <c r="AD96" i="2"/>
  <c r="AD100" i="2"/>
  <c r="AD104" i="2"/>
  <c r="AD108" i="2"/>
  <c r="AD112" i="2"/>
  <c r="AD116" i="2"/>
  <c r="AD3" i="2"/>
  <c r="AD7" i="2"/>
  <c r="AD47" i="2"/>
  <c r="AD51" i="2"/>
  <c r="AD55" i="2"/>
  <c r="AD59" i="2"/>
  <c r="AD63" i="2"/>
  <c r="AD71" i="2"/>
  <c r="AD75" i="2"/>
  <c r="AD79" i="2"/>
  <c r="AD83" i="2"/>
  <c r="AD87" i="2"/>
  <c r="AD91" i="2"/>
  <c r="AD95" i="2"/>
  <c r="AD99" i="2"/>
  <c r="AD103" i="2"/>
  <c r="AD107" i="2"/>
  <c r="AD111" i="2"/>
  <c r="AD115" i="2"/>
  <c r="AD119" i="2"/>
</calcChain>
</file>

<file path=xl/sharedStrings.xml><?xml version="1.0" encoding="utf-8"?>
<sst xmlns="http://schemas.openxmlformats.org/spreadsheetml/2006/main" count="557" uniqueCount="148">
  <si>
    <t>proteinID</t>
  </si>
  <si>
    <t>Y1</t>
  </si>
  <si>
    <t>Y2</t>
  </si>
  <si>
    <t>Y3</t>
  </si>
  <si>
    <t>Y4</t>
  </si>
  <si>
    <t>Y6</t>
  </si>
  <si>
    <t>Y7</t>
  </si>
  <si>
    <t>Y8</t>
  </si>
  <si>
    <t>M3</t>
  </si>
  <si>
    <t>M4</t>
  </si>
  <si>
    <t>M5</t>
  </si>
  <si>
    <t>M6</t>
  </si>
  <si>
    <t>M7</t>
  </si>
  <si>
    <t>M8</t>
  </si>
  <si>
    <t>M2</t>
  </si>
  <si>
    <t>O1</t>
  </si>
  <si>
    <t>O2</t>
  </si>
  <si>
    <t>O3</t>
  </si>
  <si>
    <t>O4</t>
  </si>
  <si>
    <t>O5</t>
  </si>
  <si>
    <t>O6</t>
  </si>
  <si>
    <t>O8</t>
  </si>
  <si>
    <t>y</t>
    <phoneticPr fontId="6" type="noConversion"/>
  </si>
  <si>
    <t>m</t>
    <phoneticPr fontId="6" type="noConversion"/>
  </si>
  <si>
    <t>o</t>
    <phoneticPr fontId="6" type="noConversion"/>
  </si>
  <si>
    <t>y m</t>
    <phoneticPr fontId="6" type="noConversion"/>
  </si>
  <si>
    <t>y  o</t>
    <phoneticPr fontId="6" type="noConversion"/>
  </si>
  <si>
    <t>m   o</t>
    <phoneticPr fontId="6" type="noConversion"/>
  </si>
  <si>
    <t>MIP-3a</t>
  </si>
  <si>
    <t>IL-17</t>
  </si>
  <si>
    <t>IL-5</t>
  </si>
  <si>
    <t>IL-13</t>
  </si>
  <si>
    <t>TSLP</t>
  </si>
  <si>
    <t>IL-11</t>
  </si>
  <si>
    <t>TNFa</t>
  </si>
  <si>
    <t>IL-12p70</t>
  </si>
  <si>
    <t>MIP-1d</t>
  </si>
  <si>
    <t>GRO</t>
  </si>
  <si>
    <t>IL-17F</t>
  </si>
  <si>
    <t>CCL28</t>
  </si>
  <si>
    <t>I-309</t>
  </si>
  <si>
    <t>OPN</t>
  </si>
  <si>
    <t>IL-4</t>
  </si>
  <si>
    <t>6Ckine</t>
  </si>
  <si>
    <t>MCSF</t>
  </si>
  <si>
    <t>Axl</t>
  </si>
  <si>
    <t>IL-2</t>
  </si>
  <si>
    <t>IL-12p40</t>
  </si>
  <si>
    <t>IL-7</t>
  </si>
  <si>
    <t>IFNg</t>
  </si>
  <si>
    <t>IL-8</t>
  </si>
  <si>
    <t>GDF-15</t>
  </si>
  <si>
    <t>MDC</t>
  </si>
  <si>
    <t>IP-10</t>
  </si>
  <si>
    <t>CTACK</t>
  </si>
  <si>
    <t>SDF-1a</t>
  </si>
  <si>
    <t>TNF RI</t>
  </si>
  <si>
    <t>GM-CSF</t>
  </si>
  <si>
    <t>BLC</t>
  </si>
  <si>
    <t>ICAM-1</t>
  </si>
  <si>
    <t>IL-31</t>
  </si>
  <si>
    <t>TIMP-2</t>
  </si>
  <si>
    <t>I-TAC</t>
  </si>
  <si>
    <t>IL-6</t>
  </si>
  <si>
    <t>BTC</t>
  </si>
  <si>
    <t>MIP-1a</t>
  </si>
  <si>
    <t>TIMP-1</t>
  </si>
  <si>
    <t>IGF-1</t>
  </si>
  <si>
    <t>IL-15</t>
  </si>
  <si>
    <t>Eotaxin</t>
  </si>
  <si>
    <t>IL-16</t>
  </si>
  <si>
    <t>LIF</t>
  </si>
  <si>
    <t>IL-10</t>
  </si>
  <si>
    <t>Eotaxin-2</t>
  </si>
  <si>
    <t>IL-1ra</t>
  </si>
  <si>
    <t>PDGF-BB</t>
  </si>
  <si>
    <t>MIP-1b</t>
  </si>
  <si>
    <t>MIF</t>
  </si>
  <si>
    <t>LIGHT</t>
  </si>
  <si>
    <t>MIG</t>
  </si>
  <si>
    <t>TARC</t>
  </si>
  <si>
    <t>BMP-7</t>
  </si>
  <si>
    <t>TGFa</t>
  </si>
  <si>
    <t>TNFb</t>
  </si>
  <si>
    <t>MPIF-1</t>
  </si>
  <si>
    <t>IL-6R</t>
  </si>
  <si>
    <t>NT-4</t>
  </si>
  <si>
    <t>IL-28A</t>
  </si>
  <si>
    <t>HGF</t>
  </si>
  <si>
    <t>IGFBP-1</t>
  </si>
  <si>
    <t>BMP-5</t>
  </si>
  <si>
    <t>TECK</t>
  </si>
  <si>
    <t>HB-EGF</t>
  </si>
  <si>
    <t>Insulin</t>
  </si>
  <si>
    <t>BDNF</t>
  </si>
  <si>
    <t>IL-9</t>
  </si>
  <si>
    <t>FGF-7</t>
  </si>
  <si>
    <t>VEGF R3</t>
  </si>
  <si>
    <t>PDGF-AA</t>
  </si>
  <si>
    <t>EG-VEGF</t>
  </si>
  <si>
    <t>MCP-4</t>
  </si>
  <si>
    <t>NT-3</t>
  </si>
  <si>
    <t>GDNF</t>
  </si>
  <si>
    <t>IL-1a</t>
  </si>
  <si>
    <t>RANTES</t>
  </si>
  <si>
    <t>IL-29</t>
  </si>
  <si>
    <t>MIP-3b</t>
  </si>
  <si>
    <t>EGF</t>
  </si>
  <si>
    <t>TGFb3</t>
  </si>
  <si>
    <t>IGFBP-2</t>
  </si>
  <si>
    <t>PARC</t>
  </si>
  <si>
    <t>CXCL16</t>
  </si>
  <si>
    <t>BMP-4</t>
  </si>
  <si>
    <t>FGF-4</t>
  </si>
  <si>
    <t>MCP-1</t>
  </si>
  <si>
    <t>VEGF</t>
  </si>
  <si>
    <t>IGFBP-4</t>
  </si>
  <si>
    <t>IL-1b</t>
  </si>
  <si>
    <t>TNF RII</t>
  </si>
  <si>
    <t>OPG</t>
  </si>
  <si>
    <t>TGFb1</t>
  </si>
  <si>
    <t>PF4</t>
  </si>
  <si>
    <t>AR</t>
  </si>
  <si>
    <t>SCF</t>
  </si>
  <si>
    <t>MCSF R</t>
  </si>
  <si>
    <t>PIGF</t>
  </si>
  <si>
    <t>IGFBP-6</t>
  </si>
  <si>
    <t>VEGF-D</t>
  </si>
  <si>
    <t>b-NGF</t>
  </si>
  <si>
    <t>G-CSF</t>
  </si>
  <si>
    <t>IGFBP-3</t>
  </si>
  <si>
    <t>EGF R</t>
  </si>
  <si>
    <t>SCF R</t>
  </si>
  <si>
    <t>NAP-2</t>
  </si>
  <si>
    <t>bFGF</t>
  </si>
  <si>
    <t>HCC-4</t>
  </si>
  <si>
    <t>HCC-1</t>
  </si>
  <si>
    <t>Lymphotactin</t>
  </si>
  <si>
    <t>NGF R</t>
  </si>
  <si>
    <t>MCP-2</t>
  </si>
  <si>
    <t>VEGF R2</t>
  </si>
  <si>
    <t>GCP-2</t>
  </si>
  <si>
    <t>GH</t>
  </si>
  <si>
    <t>MCP-3</t>
  </si>
  <si>
    <t>MSP</t>
  </si>
  <si>
    <t>ENA-78</t>
  </si>
  <si>
    <t>fc</t>
    <phoneticPr fontId="6" type="noConversion"/>
  </si>
  <si>
    <t>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</si>
</sst>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5" tint="-0.499984740745262"/>
      <name val="等线"/>
      <family val="2"/>
      <scheme val="minor"/>
    </font>
    <font>
      <sz val="11"/>
      <color theme="5" tint="-0.499984740745262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7" tint="-0.499984740745262"/>
      <name val="等线"/>
      <family val="3"/>
      <charset val="134"/>
      <scheme val="minor"/>
    </font>
    <font>
      <sz val="11"/>
      <color theme="7" tint="-0.499984740745262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3" fillId="0" borderId="0"/>
  </cellStyleXfs>
  <cellXfs count="18">
    <xf numFmtId="0" fontId="0" fillId="0" borderId="0" xfId="0">
      <alignment vertical="center"/>
    </xf>
    <xf numFmtId="0" fontId="4" fillId="2" borderId="0" xfId="1" applyFill="1"/>
    <xf numFmtId="0" fontId="4" fillId="0" borderId="0" xfId="1"/>
    <xf numFmtId="0" fontId="7" fillId="0" borderId="0" xfId="1" applyFont="1"/>
    <xf numFmtId="0" fontId="8" fillId="0" borderId="0" xfId="1" applyFont="1"/>
    <xf numFmtId="0" fontId="7" fillId="0" borderId="0" xfId="0" applyFont="1" applyAlignment="1"/>
    <xf numFmtId="0" fontId="3" fillId="2" borderId="0" xfId="2" applyFill="1"/>
    <xf numFmtId="0" fontId="9" fillId="2" borderId="0" xfId="2" applyFont="1" applyFill="1"/>
    <xf numFmtId="0" fontId="3" fillId="0" borderId="0" xfId="2"/>
    <xf numFmtId="0" fontId="10" fillId="0" borderId="0" xfId="2" applyFont="1"/>
    <xf numFmtId="0" fontId="11" fillId="0" borderId="1" xfId="2" applyFont="1" applyBorder="1" applyAlignment="1">
      <alignment horizontal="center" vertical="center"/>
    </xf>
    <xf numFmtId="0" fontId="7" fillId="0" borderId="0" xfId="2" applyFont="1"/>
    <xf numFmtId="0" fontId="12" fillId="0" borderId="1" xfId="2" applyFont="1" applyBorder="1" applyAlignment="1">
      <alignment horizontal="center" vertical="center"/>
    </xf>
    <xf numFmtId="0" fontId="13" fillId="0" borderId="0" xfId="2" applyFont="1"/>
    <xf numFmtId="0" fontId="8" fillId="0" borderId="0" xfId="2" applyFont="1"/>
    <xf numFmtId="0" fontId="14" fillId="2" borderId="0" xfId="2" applyFont="1" applyFill="1"/>
    <xf numFmtId="0" fontId="2" fillId="2" borderId="0" xfId="2" applyFont="1" applyFill="1"/>
    <xf numFmtId="0" fontId="1" fillId="2" borderId="0" xfId="2" applyFont="1" applyFill="1"/>
  </cellXfs>
  <cellStyles count="3">
    <cellStyle name="常规" xfId="0" builtinId="0"/>
    <cellStyle name="常规 2" xfId="1" xr:uid="{90E5426F-F481-4667-9954-479FEA48ADB5}"/>
    <cellStyle name="常规 3" xfId="2" xr:uid="{F18543D4-3647-40F2-9387-F5776BC9EC5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2302-9681-4EA5-89D8-76E4E41CE1D6}">
  <dimension ref="A1:AF119"/>
  <sheetViews>
    <sheetView topLeftCell="N1" workbookViewId="0">
      <selection activeCell="R16" sqref="R16"/>
    </sheetView>
  </sheetViews>
  <sheetFormatPr defaultColWidth="9.046875" defaultRowHeight="14.1" x14ac:dyDescent="0.5"/>
  <cols>
    <col min="1" max="16384" width="9.046875" style="2"/>
  </cols>
  <sheetData>
    <row r="1" spans="1:3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s="1" t="s">
        <v>22</v>
      </c>
      <c r="Y1" s="1" t="s">
        <v>23</v>
      </c>
      <c r="Z1" s="1" t="s">
        <v>24</v>
      </c>
      <c r="AB1" s="1" t="s">
        <v>25</v>
      </c>
      <c r="AD1" s="1" t="s">
        <v>26</v>
      </c>
      <c r="AF1" s="1" t="s">
        <v>27</v>
      </c>
    </row>
    <row r="2" spans="1:32" x14ac:dyDescent="0.5">
      <c r="A2" s="2" t="s">
        <v>28</v>
      </c>
      <c r="B2" s="2">
        <v>2.9000000000000001E-2</v>
      </c>
      <c r="C2" s="2">
        <v>2.9000000000000001E-2</v>
      </c>
      <c r="D2" s="2">
        <v>2.9000000000000001E-2</v>
      </c>
      <c r="E2" s="2">
        <v>2.9000000000000001E-2</v>
      </c>
      <c r="F2" s="2">
        <v>2.9000000000000001E-2</v>
      </c>
      <c r="G2" s="2">
        <v>2.9000000000000001E-2</v>
      </c>
      <c r="H2" s="2">
        <v>2.9000000000000001E-2</v>
      </c>
      <c r="I2" s="2">
        <v>0.28999999999999998</v>
      </c>
      <c r="J2" s="2">
        <v>33.450000000000003</v>
      </c>
      <c r="K2" s="2">
        <v>3.21</v>
      </c>
      <c r="L2" s="2">
        <v>4.03</v>
      </c>
      <c r="M2" s="2">
        <v>0.61</v>
      </c>
      <c r="N2" s="2">
        <v>11.81</v>
      </c>
      <c r="O2" s="2">
        <v>28.18</v>
      </c>
      <c r="P2" s="2">
        <v>22.02</v>
      </c>
      <c r="Q2" s="2">
        <v>13.03</v>
      </c>
      <c r="R2" s="2">
        <v>2.9000000000000001E-2</v>
      </c>
      <c r="S2" s="2">
        <v>42.71</v>
      </c>
      <c r="T2" s="2">
        <v>18.510000000000002</v>
      </c>
      <c r="U2" s="2">
        <v>44.91</v>
      </c>
      <c r="V2" s="2">
        <v>2.9000000000000001E-2</v>
      </c>
      <c r="X2" s="2">
        <f t="shared" ref="X2:X32" si="0">AVERAGE(B2:H2)</f>
        <v>2.9000000000000001E-2</v>
      </c>
      <c r="Y2" s="2">
        <f t="shared" ref="Y2:Y32" si="1">AVERAGE(I2:O2)</f>
        <v>11.654285714285717</v>
      </c>
      <c r="Z2" s="2">
        <f t="shared" ref="Z2:Z32" si="2">AVERAGE(P2:V2)</f>
        <v>20.176857142857141</v>
      </c>
      <c r="AB2" s="2">
        <f t="shared" ref="AB2:AB33" si="3">Y2/X2</f>
        <v>401.87192118226608</v>
      </c>
      <c r="AD2" s="2">
        <f t="shared" ref="AD2:AD33" si="4">Z2/X2</f>
        <v>695.75369458128068</v>
      </c>
      <c r="AF2" s="2">
        <f t="shared" ref="AF2:AF33" si="5">Z2/Y2</f>
        <v>1.7312821770041673</v>
      </c>
    </row>
    <row r="3" spans="1:32" x14ac:dyDescent="0.5">
      <c r="A3" s="2" t="s">
        <v>29</v>
      </c>
      <c r="B3" s="2">
        <v>0.67</v>
      </c>
      <c r="C3" s="2">
        <v>6.7000000000000004E-2</v>
      </c>
      <c r="D3" s="2">
        <v>6.7000000000000004E-2</v>
      </c>
      <c r="E3" s="2">
        <v>6.7000000000000004E-2</v>
      </c>
      <c r="F3" s="2">
        <v>6.7000000000000004E-2</v>
      </c>
      <c r="G3" s="2">
        <v>6.7000000000000004E-2</v>
      </c>
      <c r="H3" s="2">
        <v>6.7000000000000004E-2</v>
      </c>
      <c r="I3" s="2">
        <v>2.5499999999999998</v>
      </c>
      <c r="J3" s="2">
        <v>3.79</v>
      </c>
      <c r="K3" s="2">
        <v>1.54</v>
      </c>
      <c r="L3" s="2">
        <v>3.65</v>
      </c>
      <c r="M3" s="2">
        <v>5.49</v>
      </c>
      <c r="N3" s="2">
        <v>4.91</v>
      </c>
      <c r="O3" s="2">
        <v>9.7148749999999993</v>
      </c>
      <c r="P3" s="2">
        <v>5.45</v>
      </c>
      <c r="Q3" s="2">
        <v>6.98</v>
      </c>
      <c r="R3" s="2">
        <v>3.43</v>
      </c>
      <c r="S3" s="2">
        <v>3.07</v>
      </c>
      <c r="T3" s="2">
        <v>3.96</v>
      </c>
      <c r="U3" s="2">
        <v>2.4900000000000002</v>
      </c>
      <c r="V3" s="2">
        <v>3.04</v>
      </c>
      <c r="X3" s="2">
        <f t="shared" si="0"/>
        <v>0.15314285714285711</v>
      </c>
      <c r="Y3" s="2">
        <f t="shared" si="1"/>
        <v>4.5206964285714282</v>
      </c>
      <c r="Z3" s="2">
        <f t="shared" si="2"/>
        <v>4.0600000000000005</v>
      </c>
      <c r="AB3" s="2">
        <f t="shared" si="3"/>
        <v>29.519472947761198</v>
      </c>
      <c r="AD3" s="2">
        <f t="shared" si="4"/>
        <v>26.511194029850756</v>
      </c>
      <c r="AF3" s="2">
        <f t="shared" si="5"/>
        <v>0.89809171311310299</v>
      </c>
    </row>
    <row r="4" spans="1:32" x14ac:dyDescent="0.5">
      <c r="A4" s="2" t="s">
        <v>30</v>
      </c>
      <c r="B4" s="2">
        <v>1E-3</v>
      </c>
      <c r="C4" s="2">
        <v>28.91</v>
      </c>
      <c r="D4" s="2">
        <v>1E-3</v>
      </c>
      <c r="E4" s="2">
        <v>1E-3</v>
      </c>
      <c r="F4" s="2">
        <v>1E-3</v>
      </c>
      <c r="G4" s="2">
        <v>0.01</v>
      </c>
      <c r="H4" s="2">
        <v>1.44</v>
      </c>
      <c r="I4" s="2">
        <v>24.99</v>
      </c>
      <c r="J4" s="2">
        <v>41.73</v>
      </c>
      <c r="K4" s="2">
        <v>26.47</v>
      </c>
      <c r="L4" s="2">
        <v>40.28</v>
      </c>
      <c r="M4" s="2">
        <v>99.66</v>
      </c>
      <c r="N4" s="2">
        <v>95.27</v>
      </c>
      <c r="O4" s="2">
        <v>56.19</v>
      </c>
      <c r="P4" s="2">
        <v>112.18</v>
      </c>
      <c r="Q4" s="2">
        <v>68.430000000000007</v>
      </c>
      <c r="R4" s="2">
        <v>35.090000000000003</v>
      </c>
      <c r="S4" s="2">
        <v>128.9</v>
      </c>
      <c r="T4" s="2">
        <v>129.29</v>
      </c>
      <c r="U4" s="2">
        <v>60.62</v>
      </c>
      <c r="V4" s="2">
        <v>36.770000000000003</v>
      </c>
      <c r="X4" s="2">
        <f t="shared" si="0"/>
        <v>4.337714285714287</v>
      </c>
      <c r="Y4" s="2">
        <f t="shared" si="1"/>
        <v>54.941428571428567</v>
      </c>
      <c r="Z4" s="2">
        <f t="shared" si="2"/>
        <v>81.611428571428561</v>
      </c>
      <c r="AB4" s="2">
        <f t="shared" si="3"/>
        <v>12.665986036095372</v>
      </c>
      <c r="AD4" s="2">
        <f t="shared" si="4"/>
        <v>18.81438545646159</v>
      </c>
      <c r="AF4" s="2">
        <f t="shared" si="5"/>
        <v>1.4854260381185158</v>
      </c>
    </row>
    <row r="5" spans="1:32" x14ac:dyDescent="0.5">
      <c r="A5" s="2" t="s">
        <v>31</v>
      </c>
      <c r="B5" s="2">
        <v>6.0000000000000001E-3</v>
      </c>
      <c r="C5" s="2">
        <v>0.84</v>
      </c>
      <c r="D5" s="2">
        <v>6.0000000000000001E-3</v>
      </c>
      <c r="E5" s="2">
        <v>6.0000000000000001E-3</v>
      </c>
      <c r="F5" s="2">
        <v>6.0000000000000001E-3</v>
      </c>
      <c r="G5" s="2">
        <v>6.0000000000000001E-3</v>
      </c>
      <c r="H5" s="2">
        <v>6.0000000000000001E-3</v>
      </c>
      <c r="I5" s="2">
        <v>0.06</v>
      </c>
      <c r="J5" s="2">
        <v>1.05</v>
      </c>
      <c r="K5" s="2">
        <v>0.67</v>
      </c>
      <c r="L5" s="2">
        <v>1.79</v>
      </c>
      <c r="M5" s="2">
        <v>1.93</v>
      </c>
      <c r="N5" s="2">
        <v>1.0900000000000001</v>
      </c>
      <c r="O5" s="2">
        <v>1.66</v>
      </c>
      <c r="P5" s="2">
        <v>1.69</v>
      </c>
      <c r="Q5" s="2">
        <v>2.46</v>
      </c>
      <c r="R5" s="2">
        <v>0.98</v>
      </c>
      <c r="S5" s="2">
        <v>0.51</v>
      </c>
      <c r="T5" s="2">
        <v>6.0000000000000001E-3</v>
      </c>
      <c r="U5" s="2">
        <v>0.37</v>
      </c>
      <c r="V5" s="2">
        <v>1.39</v>
      </c>
      <c r="X5" s="2">
        <f t="shared" si="0"/>
        <v>0.12514285714285714</v>
      </c>
      <c r="Y5" s="2">
        <f t="shared" si="1"/>
        <v>1.1785714285714286</v>
      </c>
      <c r="Z5" s="2">
        <f t="shared" si="2"/>
        <v>1.0580000000000001</v>
      </c>
      <c r="AB5" s="2">
        <f t="shared" si="3"/>
        <v>9.4178082191780828</v>
      </c>
      <c r="AD5" s="2">
        <f t="shared" si="4"/>
        <v>8.4543378995433791</v>
      </c>
      <c r="AF5" s="2">
        <f t="shared" si="5"/>
        <v>0.89769696969696977</v>
      </c>
    </row>
    <row r="6" spans="1:32" x14ac:dyDescent="0.5">
      <c r="A6" s="2" t="s">
        <v>32</v>
      </c>
      <c r="B6" s="2">
        <v>207.95</v>
      </c>
      <c r="C6" s="2">
        <v>30.06</v>
      </c>
      <c r="D6" s="2">
        <v>144.56</v>
      </c>
      <c r="E6" s="2">
        <v>411.28</v>
      </c>
      <c r="F6" s="2">
        <v>0.29499999999999998</v>
      </c>
      <c r="G6" s="2">
        <v>0.29499999999999998</v>
      </c>
      <c r="H6" s="2">
        <v>0.29499999999999998</v>
      </c>
      <c r="I6" s="2">
        <v>3064.6437500000002</v>
      </c>
      <c r="J6" s="2">
        <v>931.31</v>
      </c>
      <c r="K6" s="2">
        <v>190.23</v>
      </c>
      <c r="L6" s="2">
        <v>3064.6437500000002</v>
      </c>
      <c r="M6" s="2">
        <v>235.88</v>
      </c>
      <c r="N6" s="2">
        <v>976.09</v>
      </c>
      <c r="O6" s="2">
        <v>3064.6437500000002</v>
      </c>
      <c r="P6" s="2">
        <v>272.49</v>
      </c>
      <c r="Q6" s="2">
        <v>392.16</v>
      </c>
      <c r="R6" s="2">
        <v>2013.17</v>
      </c>
      <c r="S6" s="2">
        <v>665.17</v>
      </c>
      <c r="T6" s="2">
        <v>2.95</v>
      </c>
      <c r="U6" s="2">
        <v>1106.47</v>
      </c>
      <c r="V6" s="2">
        <v>2013.44</v>
      </c>
      <c r="X6" s="2">
        <f t="shared" si="0"/>
        <v>113.53357142857139</v>
      </c>
      <c r="Y6" s="2">
        <f t="shared" si="1"/>
        <v>1646.7773214285714</v>
      </c>
      <c r="Z6" s="2">
        <f t="shared" si="2"/>
        <v>923.69285714285718</v>
      </c>
      <c r="AB6" s="2">
        <f t="shared" si="3"/>
        <v>14.504761020969259</v>
      </c>
      <c r="AD6" s="2">
        <f t="shared" si="4"/>
        <v>8.1358566062901492</v>
      </c>
      <c r="AF6" s="2">
        <f t="shared" si="5"/>
        <v>0.56090938654751332</v>
      </c>
    </row>
    <row r="7" spans="1:32" x14ac:dyDescent="0.5">
      <c r="A7" s="2" t="s">
        <v>33</v>
      </c>
      <c r="B7" s="2">
        <v>0.63500000000000001</v>
      </c>
      <c r="C7" s="2">
        <v>23.47</v>
      </c>
      <c r="D7" s="2">
        <v>33.11</v>
      </c>
      <c r="E7" s="2">
        <v>32.47</v>
      </c>
      <c r="F7" s="2">
        <v>0.63500000000000001</v>
      </c>
      <c r="G7" s="2">
        <v>0.63500000000000001</v>
      </c>
      <c r="H7" s="2">
        <v>6.35</v>
      </c>
      <c r="I7" s="2">
        <v>87.37</v>
      </c>
      <c r="J7" s="2">
        <v>131.84</v>
      </c>
      <c r="K7" s="2">
        <v>97.55</v>
      </c>
      <c r="L7" s="2">
        <v>112.99</v>
      </c>
      <c r="M7" s="2">
        <v>94.41</v>
      </c>
      <c r="N7" s="2">
        <v>171.22</v>
      </c>
      <c r="O7" s="2">
        <v>74.98</v>
      </c>
      <c r="P7" s="2">
        <v>129.09</v>
      </c>
      <c r="Q7" s="2">
        <v>157.47</v>
      </c>
      <c r="R7" s="2">
        <v>108.18</v>
      </c>
      <c r="S7" s="2">
        <v>106.81</v>
      </c>
      <c r="T7" s="2">
        <v>129.34</v>
      </c>
      <c r="U7" s="2">
        <v>95.57</v>
      </c>
      <c r="V7" s="2">
        <v>63.36</v>
      </c>
      <c r="X7" s="2">
        <f t="shared" si="0"/>
        <v>13.900714285714287</v>
      </c>
      <c r="Y7" s="2">
        <f t="shared" si="1"/>
        <v>110.05142857142857</v>
      </c>
      <c r="Z7" s="2">
        <f t="shared" si="2"/>
        <v>112.83142857142857</v>
      </c>
      <c r="AB7" s="2">
        <f t="shared" si="3"/>
        <v>7.9169621293869783</v>
      </c>
      <c r="AD7" s="2">
        <f t="shared" si="4"/>
        <v>8.1169518524227939</v>
      </c>
      <c r="AF7" s="2">
        <f t="shared" si="5"/>
        <v>1.0252609169738824</v>
      </c>
    </row>
    <row r="8" spans="1:32" x14ac:dyDescent="0.5">
      <c r="A8" s="2" t="s">
        <v>34</v>
      </c>
      <c r="B8" s="2">
        <v>0.97</v>
      </c>
      <c r="C8" s="2">
        <v>6.21</v>
      </c>
      <c r="D8" s="2">
        <v>2.3E-2</v>
      </c>
      <c r="E8" s="2">
        <v>0.39</v>
      </c>
      <c r="F8" s="2">
        <v>0.23</v>
      </c>
      <c r="G8" s="2">
        <v>2.3E-2</v>
      </c>
      <c r="H8" s="2">
        <v>1.51</v>
      </c>
      <c r="I8" s="2">
        <v>4.0199999999999996</v>
      </c>
      <c r="J8" s="2">
        <v>6.92</v>
      </c>
      <c r="K8" s="2">
        <v>4.57</v>
      </c>
      <c r="L8" s="2">
        <v>8.31</v>
      </c>
      <c r="M8" s="2">
        <v>8.23</v>
      </c>
      <c r="N8" s="2">
        <v>6.88</v>
      </c>
      <c r="O8" s="2">
        <v>9.17</v>
      </c>
      <c r="P8" s="2">
        <v>16.68</v>
      </c>
      <c r="Q8" s="2">
        <v>11.83</v>
      </c>
      <c r="R8" s="2">
        <v>6.74</v>
      </c>
      <c r="S8" s="2">
        <v>7.31</v>
      </c>
      <c r="T8" s="2">
        <v>8.3800000000000008</v>
      </c>
      <c r="U8" s="2">
        <v>5.24</v>
      </c>
      <c r="V8" s="2">
        <v>4.46</v>
      </c>
      <c r="X8" s="2">
        <f t="shared" si="0"/>
        <v>1.3365714285714285</v>
      </c>
      <c r="Y8" s="2">
        <f t="shared" si="1"/>
        <v>6.8714285714285719</v>
      </c>
      <c r="Z8" s="2">
        <f t="shared" si="2"/>
        <v>8.6628571428571437</v>
      </c>
      <c r="AB8" s="2">
        <f t="shared" si="3"/>
        <v>5.1410859341598982</v>
      </c>
      <c r="AD8" s="2">
        <f t="shared" si="4"/>
        <v>6.4814023086789234</v>
      </c>
      <c r="AF8" s="2">
        <f t="shared" si="5"/>
        <v>1.2607068607068608</v>
      </c>
    </row>
    <row r="9" spans="1:32" x14ac:dyDescent="0.5">
      <c r="A9" s="2" t="s">
        <v>35</v>
      </c>
      <c r="B9" s="2">
        <v>0.11</v>
      </c>
      <c r="C9" s="2">
        <v>0.21</v>
      </c>
      <c r="D9" s="2">
        <v>0.04</v>
      </c>
      <c r="E9" s="2">
        <v>0.12</v>
      </c>
      <c r="F9" s="2">
        <v>4.0000000000000001E-3</v>
      </c>
      <c r="G9" s="2">
        <v>0.04</v>
      </c>
      <c r="H9" s="2">
        <v>4.0000000000000001E-3</v>
      </c>
      <c r="I9" s="2">
        <v>0.47</v>
      </c>
      <c r="J9" s="2">
        <v>0.5</v>
      </c>
      <c r="K9" s="2">
        <v>0.38</v>
      </c>
      <c r="L9" s="2">
        <v>0.39</v>
      </c>
      <c r="M9" s="2">
        <v>0.5</v>
      </c>
      <c r="N9" s="2">
        <v>0.51</v>
      </c>
      <c r="O9" s="2">
        <v>0.79</v>
      </c>
      <c r="P9" s="2">
        <v>0.63</v>
      </c>
      <c r="Q9" s="2">
        <v>0.4</v>
      </c>
      <c r="R9" s="2">
        <v>0.34</v>
      </c>
      <c r="S9" s="2">
        <v>0.57999999999999996</v>
      </c>
      <c r="T9" s="2">
        <v>0.13</v>
      </c>
      <c r="U9" s="2">
        <v>0.33</v>
      </c>
      <c r="V9" s="2">
        <v>0.68</v>
      </c>
      <c r="X9" s="2">
        <f t="shared" si="0"/>
        <v>7.5428571428571428E-2</v>
      </c>
      <c r="Y9" s="2">
        <f t="shared" si="1"/>
        <v>0.50571428571428567</v>
      </c>
      <c r="Z9" s="2">
        <f t="shared" si="2"/>
        <v>0.44142857142857145</v>
      </c>
      <c r="AB9" s="2">
        <f t="shared" si="3"/>
        <v>6.7045454545454541</v>
      </c>
      <c r="AD9" s="2">
        <f t="shared" si="4"/>
        <v>5.8522727272727275</v>
      </c>
      <c r="AF9" s="2">
        <f t="shared" si="5"/>
        <v>0.87288135593220351</v>
      </c>
    </row>
    <row r="10" spans="1:32" x14ac:dyDescent="0.5">
      <c r="A10" s="2" t="s">
        <v>36</v>
      </c>
      <c r="B10" s="2">
        <v>412.54</v>
      </c>
      <c r="C10" s="2">
        <v>2103.54</v>
      </c>
      <c r="D10" s="2">
        <v>974.99</v>
      </c>
      <c r="E10" s="2">
        <v>295.5</v>
      </c>
      <c r="F10" s="2">
        <v>636.84</v>
      </c>
      <c r="G10" s="2">
        <v>222.26</v>
      </c>
      <c r="H10" s="2">
        <v>106.7</v>
      </c>
      <c r="I10" s="2">
        <v>3626.19</v>
      </c>
      <c r="J10" s="2">
        <v>2072.94</v>
      </c>
      <c r="K10" s="2">
        <v>3550.19</v>
      </c>
      <c r="L10" s="2">
        <v>3576.88</v>
      </c>
      <c r="M10" s="2">
        <v>1369.3</v>
      </c>
      <c r="N10" s="2">
        <v>1718.34</v>
      </c>
      <c r="O10" s="2">
        <v>3372.38</v>
      </c>
      <c r="P10" s="2">
        <v>6597.23</v>
      </c>
      <c r="Q10" s="2">
        <v>4938.22</v>
      </c>
      <c r="R10" s="2">
        <v>964.16</v>
      </c>
      <c r="S10" s="2">
        <v>6506.11</v>
      </c>
      <c r="T10" s="2">
        <v>1490.88</v>
      </c>
      <c r="U10" s="2">
        <v>2693.2</v>
      </c>
      <c r="V10" s="2">
        <v>4283.41</v>
      </c>
      <c r="X10" s="2">
        <f t="shared" si="0"/>
        <v>678.91</v>
      </c>
      <c r="Y10" s="2">
        <f t="shared" si="1"/>
        <v>2755.1742857142858</v>
      </c>
      <c r="Z10" s="2">
        <f t="shared" si="2"/>
        <v>3924.744285714286</v>
      </c>
      <c r="AB10" s="2">
        <f t="shared" si="3"/>
        <v>4.0582319979294548</v>
      </c>
      <c r="AD10" s="2">
        <f t="shared" si="4"/>
        <v>5.7809492947729249</v>
      </c>
      <c r="AF10" s="2">
        <f t="shared" si="5"/>
        <v>1.4244994612733859</v>
      </c>
    </row>
    <row r="11" spans="1:32" x14ac:dyDescent="0.5">
      <c r="A11" s="2" t="s">
        <v>37</v>
      </c>
      <c r="B11" s="2">
        <v>1.49</v>
      </c>
      <c r="C11" s="2">
        <v>25.8</v>
      </c>
      <c r="D11" s="2">
        <v>22.5</v>
      </c>
      <c r="E11" s="2">
        <v>9.2999999999999999E-2</v>
      </c>
      <c r="F11" s="2">
        <v>9.99</v>
      </c>
      <c r="G11" s="2">
        <v>0.93</v>
      </c>
      <c r="H11" s="2">
        <v>2.11</v>
      </c>
      <c r="I11" s="2">
        <v>21.5</v>
      </c>
      <c r="J11" s="2">
        <v>15.94</v>
      </c>
      <c r="K11" s="2">
        <v>38.03</v>
      </c>
      <c r="L11" s="2">
        <v>13.92</v>
      </c>
      <c r="M11" s="2">
        <v>90.86</v>
      </c>
      <c r="N11" s="2">
        <v>6.23</v>
      </c>
      <c r="O11" s="2">
        <v>104.3425</v>
      </c>
      <c r="P11" s="2">
        <v>104.3425</v>
      </c>
      <c r="Q11" s="2">
        <v>92.65</v>
      </c>
      <c r="R11" s="2">
        <v>57.85</v>
      </c>
      <c r="S11" s="2">
        <v>41.48</v>
      </c>
      <c r="T11" s="2">
        <v>10.93</v>
      </c>
      <c r="U11" s="2">
        <v>24.36</v>
      </c>
      <c r="V11" s="2">
        <v>7.93</v>
      </c>
      <c r="X11" s="2">
        <f t="shared" si="0"/>
        <v>8.9875714285714299</v>
      </c>
      <c r="Y11" s="2">
        <f t="shared" si="1"/>
        <v>41.54607142857143</v>
      </c>
      <c r="Z11" s="2">
        <f t="shared" si="2"/>
        <v>48.506071428571431</v>
      </c>
      <c r="AB11" s="2">
        <f t="shared" si="3"/>
        <v>4.6226137682196047</v>
      </c>
      <c r="AD11" s="2">
        <f t="shared" si="4"/>
        <v>5.3970165148697404</v>
      </c>
      <c r="AF11" s="2">
        <f t="shared" si="5"/>
        <v>1.167524864823045</v>
      </c>
    </row>
    <row r="12" spans="1:32" x14ac:dyDescent="0.5">
      <c r="A12" s="2" t="s">
        <v>38</v>
      </c>
      <c r="B12" s="2">
        <v>152.55000000000001</v>
      </c>
      <c r="C12" s="2">
        <v>43.05</v>
      </c>
      <c r="D12" s="2">
        <v>417.97</v>
      </c>
      <c r="E12" s="2">
        <v>71.41</v>
      </c>
      <c r="F12" s="2">
        <v>138.82</v>
      </c>
      <c r="G12" s="2">
        <v>4.3049999999999997</v>
      </c>
      <c r="H12" s="2">
        <v>4.3049999999999997</v>
      </c>
      <c r="I12" s="2">
        <v>1877.60625</v>
      </c>
      <c r="J12" s="2">
        <v>128.13999999999999</v>
      </c>
      <c r="K12" s="2">
        <v>77.040000000000006</v>
      </c>
      <c r="L12" s="2">
        <v>1877.60625</v>
      </c>
      <c r="M12" s="2">
        <v>112.23</v>
      </c>
      <c r="N12" s="2">
        <v>289.06</v>
      </c>
      <c r="O12" s="2">
        <v>1877.60625</v>
      </c>
      <c r="P12" s="2">
        <v>206.26</v>
      </c>
      <c r="Q12" s="2">
        <v>237.66</v>
      </c>
      <c r="R12" s="2">
        <v>484.8</v>
      </c>
      <c r="S12" s="2">
        <v>577.13</v>
      </c>
      <c r="T12" s="2">
        <v>198.71</v>
      </c>
      <c r="U12" s="2">
        <v>810.19</v>
      </c>
      <c r="V12" s="2">
        <v>1877.60625</v>
      </c>
      <c r="X12" s="2">
        <f t="shared" si="0"/>
        <v>118.91571428571426</v>
      </c>
      <c r="Y12" s="2">
        <f t="shared" si="1"/>
        <v>891.32696428571421</v>
      </c>
      <c r="Z12" s="2">
        <f t="shared" si="2"/>
        <v>627.47946428571424</v>
      </c>
      <c r="AB12" s="2">
        <f t="shared" si="3"/>
        <v>7.4954514602179225</v>
      </c>
      <c r="AD12" s="2">
        <f t="shared" si="4"/>
        <v>5.2766740548527773</v>
      </c>
      <c r="AF12" s="2">
        <f t="shared" si="5"/>
        <v>0.70398348689984902</v>
      </c>
    </row>
    <row r="13" spans="1:32" x14ac:dyDescent="0.5">
      <c r="A13" s="2" t="s">
        <v>39</v>
      </c>
      <c r="B13" s="2">
        <v>177.26</v>
      </c>
      <c r="C13" s="2">
        <v>279.02</v>
      </c>
      <c r="D13" s="2">
        <v>296.33</v>
      </c>
      <c r="E13" s="2">
        <v>8.7959999999999994</v>
      </c>
      <c r="F13" s="2">
        <v>134.58000000000001</v>
      </c>
      <c r="G13" s="2">
        <v>130.66999999999999</v>
      </c>
      <c r="H13" s="2">
        <v>119.85</v>
      </c>
      <c r="I13" s="2">
        <v>550.83000000000004</v>
      </c>
      <c r="J13" s="2">
        <v>540.09</v>
      </c>
      <c r="K13" s="2">
        <v>547.04999999999995</v>
      </c>
      <c r="L13" s="2">
        <v>435</v>
      </c>
      <c r="M13" s="2">
        <v>521.76</v>
      </c>
      <c r="N13" s="2">
        <v>398</v>
      </c>
      <c r="O13" s="2">
        <v>548.96</v>
      </c>
      <c r="P13" s="2">
        <v>975.32624999999996</v>
      </c>
      <c r="Q13" s="2">
        <v>824.4</v>
      </c>
      <c r="R13" s="2">
        <v>551.85</v>
      </c>
      <c r="S13" s="2">
        <v>698.08</v>
      </c>
      <c r="T13" s="2">
        <v>975.1</v>
      </c>
      <c r="U13" s="2">
        <v>352.08</v>
      </c>
      <c r="V13" s="2">
        <v>235.97</v>
      </c>
      <c r="X13" s="2">
        <f t="shared" si="0"/>
        <v>163.78657142857142</v>
      </c>
      <c r="Y13" s="2">
        <f t="shared" si="1"/>
        <v>505.95571428571435</v>
      </c>
      <c r="Z13" s="2">
        <f t="shared" si="2"/>
        <v>658.97232142857149</v>
      </c>
      <c r="AB13" s="2">
        <f t="shared" si="3"/>
        <v>3.0891159749709121</v>
      </c>
      <c r="AD13" s="2">
        <f t="shared" si="4"/>
        <v>4.0233598864724653</v>
      </c>
      <c r="AF13" s="2">
        <f t="shared" si="5"/>
        <v>1.3024308310439365</v>
      </c>
    </row>
    <row r="14" spans="1:32" x14ac:dyDescent="0.5">
      <c r="A14" s="2" t="s">
        <v>40</v>
      </c>
      <c r="B14" s="2">
        <v>50.85</v>
      </c>
      <c r="C14" s="2">
        <v>20.63</v>
      </c>
      <c r="D14" s="2">
        <v>4.62</v>
      </c>
      <c r="E14" s="2">
        <v>2.37</v>
      </c>
      <c r="F14" s="2">
        <v>0.23699999999999999</v>
      </c>
      <c r="G14" s="2">
        <v>0.23699999999999999</v>
      </c>
      <c r="H14" s="2">
        <v>5.33</v>
      </c>
      <c r="I14" s="2">
        <v>25.23</v>
      </c>
      <c r="J14" s="2">
        <v>38.31</v>
      </c>
      <c r="K14" s="2">
        <v>26.78</v>
      </c>
      <c r="L14" s="2">
        <v>25.18</v>
      </c>
      <c r="M14" s="2">
        <v>16.54</v>
      </c>
      <c r="N14" s="2">
        <v>28.99</v>
      </c>
      <c r="O14" s="2">
        <v>105.25125</v>
      </c>
      <c r="P14" s="2">
        <v>81.73</v>
      </c>
      <c r="Q14" s="2">
        <v>63.04</v>
      </c>
      <c r="R14" s="2">
        <v>27.48</v>
      </c>
      <c r="S14" s="2">
        <v>39.36</v>
      </c>
      <c r="T14" s="2">
        <v>26.84</v>
      </c>
      <c r="U14" s="2">
        <v>53.34</v>
      </c>
      <c r="V14" s="2">
        <v>31.16</v>
      </c>
      <c r="X14" s="2">
        <f t="shared" si="0"/>
        <v>12.039142857142858</v>
      </c>
      <c r="Y14" s="2">
        <f t="shared" si="1"/>
        <v>38.040178571428569</v>
      </c>
      <c r="Z14" s="2">
        <f t="shared" si="2"/>
        <v>46.135714285714293</v>
      </c>
      <c r="AB14" s="2">
        <f t="shared" si="3"/>
        <v>3.1597082136839352</v>
      </c>
      <c r="AD14" s="2">
        <f t="shared" si="4"/>
        <v>3.832142772385315</v>
      </c>
      <c r="AF14" s="2">
        <f t="shared" si="5"/>
        <v>1.2128153972538438</v>
      </c>
    </row>
    <row r="15" spans="1:32" x14ac:dyDescent="0.5">
      <c r="A15" s="2" t="s">
        <v>41</v>
      </c>
      <c r="B15" s="2">
        <v>2935.86</v>
      </c>
      <c r="C15" s="2">
        <v>2850.79</v>
      </c>
      <c r="D15" s="2">
        <v>18643.02</v>
      </c>
      <c r="E15" s="2">
        <v>2222.5500000000002</v>
      </c>
      <c r="F15" s="2">
        <v>8880.93</v>
      </c>
      <c r="G15" s="2">
        <v>1807.57</v>
      </c>
      <c r="H15" s="2">
        <v>975.28</v>
      </c>
      <c r="I15" s="2">
        <v>10232.040000000001</v>
      </c>
      <c r="J15" s="2">
        <v>15742.21</v>
      </c>
      <c r="K15" s="2">
        <v>3292.95</v>
      </c>
      <c r="L15" s="2">
        <v>4022.48</v>
      </c>
      <c r="M15" s="2">
        <v>22913.66</v>
      </c>
      <c r="N15" s="2">
        <v>2696.99</v>
      </c>
      <c r="O15" s="2">
        <v>9178.9599999999991</v>
      </c>
      <c r="P15" s="2">
        <v>27419.05</v>
      </c>
      <c r="Q15" s="2">
        <v>27227.53</v>
      </c>
      <c r="R15" s="2">
        <v>26188.94</v>
      </c>
      <c r="S15" s="2">
        <v>21225.93</v>
      </c>
      <c r="T15" s="2">
        <v>6217.63</v>
      </c>
      <c r="U15" s="2">
        <v>21838.49</v>
      </c>
      <c r="V15" s="2">
        <v>11647.37</v>
      </c>
      <c r="X15" s="2">
        <f t="shared" si="0"/>
        <v>5473.7142857142844</v>
      </c>
      <c r="Y15" s="2">
        <f t="shared" si="1"/>
        <v>9725.6128571428562</v>
      </c>
      <c r="Z15" s="2">
        <f t="shared" si="2"/>
        <v>20252.134285714292</v>
      </c>
      <c r="AB15" s="2">
        <f t="shared" si="3"/>
        <v>1.776784894039044</v>
      </c>
      <c r="AD15" s="2">
        <f t="shared" si="4"/>
        <v>3.6998888192922035</v>
      </c>
      <c r="AF15" s="2">
        <f t="shared" si="5"/>
        <v>2.0823504475443273</v>
      </c>
    </row>
    <row r="16" spans="1:32" x14ac:dyDescent="0.5">
      <c r="A16" s="2" t="s">
        <v>42</v>
      </c>
      <c r="B16" s="2">
        <v>3.56</v>
      </c>
      <c r="C16" s="2">
        <v>17.440000000000001</v>
      </c>
      <c r="D16" s="2">
        <v>2.94</v>
      </c>
      <c r="E16" s="2">
        <v>5.52</v>
      </c>
      <c r="F16" s="2">
        <v>1.76</v>
      </c>
      <c r="G16" s="2">
        <v>2.0499999999999998</v>
      </c>
      <c r="H16" s="2">
        <v>8.19</v>
      </c>
      <c r="I16" s="2">
        <v>16.12</v>
      </c>
      <c r="J16" s="2">
        <v>26.77</v>
      </c>
      <c r="K16" s="2">
        <v>18.690000000000001</v>
      </c>
      <c r="L16" s="2">
        <v>36.26</v>
      </c>
      <c r="M16" s="2">
        <v>25.4</v>
      </c>
      <c r="N16" s="2">
        <v>18.88</v>
      </c>
      <c r="O16" s="2">
        <v>45.52375</v>
      </c>
      <c r="P16" s="2">
        <v>34.39</v>
      </c>
      <c r="Q16" s="2">
        <v>19.850000000000001</v>
      </c>
      <c r="R16" s="2">
        <v>16.72</v>
      </c>
      <c r="S16" s="2">
        <v>18.29</v>
      </c>
      <c r="T16" s="2">
        <v>26.42</v>
      </c>
      <c r="U16" s="2">
        <v>17.329999999999998</v>
      </c>
      <c r="V16" s="2">
        <v>17.02</v>
      </c>
      <c r="X16" s="2">
        <f t="shared" si="0"/>
        <v>5.9228571428571426</v>
      </c>
      <c r="Y16" s="2">
        <f t="shared" si="1"/>
        <v>26.806250000000002</v>
      </c>
      <c r="Z16" s="2">
        <f t="shared" si="2"/>
        <v>21.431428571428572</v>
      </c>
      <c r="AB16" s="2">
        <f t="shared" si="3"/>
        <v>4.5258984563434641</v>
      </c>
      <c r="AD16" s="2">
        <f t="shared" si="4"/>
        <v>3.6184273999035219</v>
      </c>
      <c r="AF16" s="2">
        <f t="shared" si="5"/>
        <v>0.79949372148019848</v>
      </c>
    </row>
    <row r="17" spans="1:32" x14ac:dyDescent="0.5">
      <c r="A17" s="2" t="s">
        <v>43</v>
      </c>
      <c r="B17" s="2">
        <v>1521.49</v>
      </c>
      <c r="C17" s="2">
        <v>1023.82</v>
      </c>
      <c r="D17" s="2">
        <v>834.26</v>
      </c>
      <c r="E17" s="2">
        <v>23.298999999999999</v>
      </c>
      <c r="F17" s="2">
        <v>2415.9299999999998</v>
      </c>
      <c r="G17" s="2">
        <v>23.298999999999999</v>
      </c>
      <c r="H17" s="2">
        <v>232.99</v>
      </c>
      <c r="I17" s="2">
        <v>1233.1600000000001</v>
      </c>
      <c r="J17" s="2">
        <v>1163.29</v>
      </c>
      <c r="K17" s="2">
        <v>868.74</v>
      </c>
      <c r="L17" s="2">
        <v>2237.9699999999998</v>
      </c>
      <c r="M17" s="2">
        <v>430.96</v>
      </c>
      <c r="N17" s="2">
        <v>378.9</v>
      </c>
      <c r="O17" s="2">
        <v>5064.1187499999996</v>
      </c>
      <c r="P17" s="2">
        <v>5064.1187499999996</v>
      </c>
      <c r="Q17" s="2">
        <v>3937.69</v>
      </c>
      <c r="R17" s="2">
        <v>2747.89</v>
      </c>
      <c r="S17" s="2">
        <v>2910.32</v>
      </c>
      <c r="T17" s="2">
        <v>2448.81</v>
      </c>
      <c r="U17" s="2">
        <v>2391.42</v>
      </c>
      <c r="V17" s="2">
        <v>1895.86</v>
      </c>
      <c r="X17" s="2">
        <f t="shared" si="0"/>
        <v>867.86971428571417</v>
      </c>
      <c r="Y17" s="2">
        <f t="shared" si="1"/>
        <v>1625.3055357142855</v>
      </c>
      <c r="Z17" s="2">
        <f t="shared" si="2"/>
        <v>3056.5869642857142</v>
      </c>
      <c r="AB17" s="2">
        <f t="shared" si="3"/>
        <v>1.8727529132088292</v>
      </c>
      <c r="AD17" s="2">
        <f t="shared" si="4"/>
        <v>3.5219421924423155</v>
      </c>
      <c r="AF17" s="2">
        <f t="shared" si="5"/>
        <v>1.8806229949511692</v>
      </c>
    </row>
    <row r="18" spans="1:32" x14ac:dyDescent="0.5">
      <c r="A18" s="2" t="s">
        <v>44</v>
      </c>
      <c r="B18" s="2">
        <v>3.98</v>
      </c>
      <c r="C18" s="2">
        <v>3.96</v>
      </c>
      <c r="D18" s="2">
        <v>0.11</v>
      </c>
      <c r="E18" s="2">
        <v>1.0999999999999999E-2</v>
      </c>
      <c r="F18" s="2">
        <v>1.0999999999999999E-2</v>
      </c>
      <c r="G18" s="2">
        <v>0.78</v>
      </c>
      <c r="H18" s="2">
        <v>0.33</v>
      </c>
      <c r="I18" s="2">
        <v>1.0999999999999999E-2</v>
      </c>
      <c r="J18" s="2">
        <v>1.44</v>
      </c>
      <c r="K18" s="2">
        <v>3.07</v>
      </c>
      <c r="L18" s="2">
        <v>4.84</v>
      </c>
      <c r="M18" s="2">
        <v>3.27</v>
      </c>
      <c r="N18" s="2">
        <v>4.46</v>
      </c>
      <c r="O18" s="2">
        <v>1</v>
      </c>
      <c r="P18" s="2">
        <v>10.975</v>
      </c>
      <c r="Q18" s="2">
        <v>5.79</v>
      </c>
      <c r="R18" s="2">
        <v>1.0999999999999999E-2</v>
      </c>
      <c r="S18" s="2">
        <v>0.42</v>
      </c>
      <c r="T18" s="2">
        <v>3.71</v>
      </c>
      <c r="U18" s="2">
        <v>10.975</v>
      </c>
      <c r="V18" s="2">
        <v>1.0999999999999999E-2</v>
      </c>
      <c r="X18" s="2">
        <f t="shared" si="0"/>
        <v>1.3117142857142852</v>
      </c>
      <c r="Y18" s="2">
        <f t="shared" si="1"/>
        <v>2.5844285714285715</v>
      </c>
      <c r="Z18" s="2">
        <f t="shared" si="2"/>
        <v>4.556</v>
      </c>
      <c r="AB18" s="2">
        <f t="shared" si="3"/>
        <v>1.970267915486823</v>
      </c>
      <c r="AD18" s="2">
        <f t="shared" si="4"/>
        <v>3.4733173600522775</v>
      </c>
      <c r="AF18" s="2">
        <f t="shared" si="5"/>
        <v>1.7628655132386268</v>
      </c>
    </row>
    <row r="19" spans="1:32" x14ac:dyDescent="0.5">
      <c r="A19" s="2" t="s">
        <v>45</v>
      </c>
      <c r="B19" s="2">
        <v>388.2</v>
      </c>
      <c r="C19" s="2">
        <v>484.88</v>
      </c>
      <c r="D19" s="2">
        <v>240.91</v>
      </c>
      <c r="E19" s="2">
        <v>179.3</v>
      </c>
      <c r="F19" s="2">
        <v>145.94999999999999</v>
      </c>
      <c r="G19" s="2">
        <v>8.2899999999999991</v>
      </c>
      <c r="H19" s="2">
        <v>82.9</v>
      </c>
      <c r="I19" s="2">
        <v>566.16999999999996</v>
      </c>
      <c r="J19" s="2">
        <v>523.91</v>
      </c>
      <c r="K19" s="2">
        <v>469.21</v>
      </c>
      <c r="L19" s="2">
        <v>928.11</v>
      </c>
      <c r="M19" s="2">
        <v>812.58</v>
      </c>
      <c r="N19" s="2">
        <v>530.33000000000004</v>
      </c>
      <c r="O19" s="2">
        <v>438.81</v>
      </c>
      <c r="P19" s="2">
        <v>1319.76</v>
      </c>
      <c r="Q19" s="2">
        <v>1004.68</v>
      </c>
      <c r="R19" s="2">
        <v>668.29</v>
      </c>
      <c r="S19" s="2">
        <v>731.29</v>
      </c>
      <c r="T19" s="2">
        <v>665.88</v>
      </c>
      <c r="U19" s="2">
        <v>617.01</v>
      </c>
      <c r="V19" s="2">
        <v>241.79</v>
      </c>
      <c r="X19" s="2">
        <f t="shared" si="0"/>
        <v>218.63285714285715</v>
      </c>
      <c r="Y19" s="2">
        <f t="shared" si="1"/>
        <v>609.87428571428575</v>
      </c>
      <c r="Z19" s="2">
        <f t="shared" si="2"/>
        <v>749.81428571428569</v>
      </c>
      <c r="AB19" s="2">
        <f t="shared" si="3"/>
        <v>2.7894905353397412</v>
      </c>
      <c r="AD19" s="2">
        <f t="shared" si="4"/>
        <v>3.4295590128264601</v>
      </c>
      <c r="AF19" s="2">
        <f t="shared" si="5"/>
        <v>1.2294571246533241</v>
      </c>
    </row>
    <row r="20" spans="1:32" x14ac:dyDescent="0.5">
      <c r="A20" s="2" t="s">
        <v>46</v>
      </c>
      <c r="B20" s="2">
        <v>19.399999999999999</v>
      </c>
      <c r="C20" s="2">
        <v>14.39</v>
      </c>
      <c r="D20" s="2">
        <v>9.86</v>
      </c>
      <c r="E20" s="2">
        <v>4.88</v>
      </c>
      <c r="F20" s="2">
        <v>9.91</v>
      </c>
      <c r="G20" s="2">
        <v>4.5599999999999996</v>
      </c>
      <c r="H20" s="2">
        <v>5.26</v>
      </c>
      <c r="I20" s="2">
        <v>14.52</v>
      </c>
      <c r="J20" s="2">
        <v>42.76</v>
      </c>
      <c r="K20" s="2">
        <v>23.37</v>
      </c>
      <c r="L20" s="2">
        <v>25.19</v>
      </c>
      <c r="M20" s="2">
        <v>67.325000000000003</v>
      </c>
      <c r="N20" s="2">
        <v>25.37</v>
      </c>
      <c r="O20" s="2">
        <v>67.325000000000003</v>
      </c>
      <c r="P20" s="2">
        <v>33.770000000000003</v>
      </c>
      <c r="Q20" s="2">
        <v>26.2</v>
      </c>
      <c r="R20" s="2">
        <v>19.55</v>
      </c>
      <c r="S20" s="2">
        <v>41.18</v>
      </c>
      <c r="T20" s="2">
        <v>66.459999999999994</v>
      </c>
      <c r="U20" s="2">
        <v>26.11</v>
      </c>
      <c r="V20" s="2">
        <v>20.25</v>
      </c>
      <c r="X20" s="2">
        <f t="shared" si="0"/>
        <v>9.7514285714285727</v>
      </c>
      <c r="Y20" s="2">
        <f t="shared" si="1"/>
        <v>37.980000000000004</v>
      </c>
      <c r="Z20" s="2">
        <f t="shared" si="2"/>
        <v>33.36</v>
      </c>
      <c r="AB20" s="2">
        <f t="shared" si="3"/>
        <v>3.8948139466744798</v>
      </c>
      <c r="AD20" s="2">
        <f t="shared" si="4"/>
        <v>3.4210372106651037</v>
      </c>
      <c r="AF20" s="2">
        <f t="shared" si="5"/>
        <v>0.87835703001579768</v>
      </c>
    </row>
    <row r="21" spans="1:32" x14ac:dyDescent="0.5">
      <c r="A21" s="2" t="s">
        <v>47</v>
      </c>
      <c r="B21" s="2">
        <v>168.27</v>
      </c>
      <c r="C21" s="2">
        <v>202.64</v>
      </c>
      <c r="D21" s="2">
        <v>37.78</v>
      </c>
      <c r="E21" s="2">
        <v>31.58</v>
      </c>
      <c r="F21" s="2">
        <v>20.149999999999999</v>
      </c>
      <c r="G21" s="2">
        <v>19.37</v>
      </c>
      <c r="H21" s="2">
        <v>62.57</v>
      </c>
      <c r="I21" s="2">
        <v>112.46</v>
      </c>
      <c r="J21" s="2">
        <v>101.1</v>
      </c>
      <c r="K21" s="2">
        <v>117.14</v>
      </c>
      <c r="L21" s="2">
        <v>332.56</v>
      </c>
      <c r="M21" s="2">
        <v>140.55000000000001</v>
      </c>
      <c r="N21" s="2">
        <v>197.06</v>
      </c>
      <c r="O21" s="2">
        <v>531.50125000000003</v>
      </c>
      <c r="P21" s="2">
        <v>362.56</v>
      </c>
      <c r="Q21" s="2">
        <v>377.47</v>
      </c>
      <c r="R21" s="2">
        <v>143.69</v>
      </c>
      <c r="S21" s="2">
        <v>203.44</v>
      </c>
      <c r="T21" s="2">
        <v>148.6</v>
      </c>
      <c r="U21" s="2">
        <v>348.85</v>
      </c>
      <c r="V21" s="2">
        <v>119.29</v>
      </c>
      <c r="X21" s="2">
        <f t="shared" si="0"/>
        <v>77.47999999999999</v>
      </c>
      <c r="Y21" s="2">
        <f t="shared" si="1"/>
        <v>218.91017857142856</v>
      </c>
      <c r="Z21" s="2">
        <f t="shared" si="2"/>
        <v>243.41428571428574</v>
      </c>
      <c r="AB21" s="2">
        <f t="shared" si="3"/>
        <v>2.8253765948816287</v>
      </c>
      <c r="AD21" s="2">
        <f t="shared" si="4"/>
        <v>3.1416402389556759</v>
      </c>
      <c r="AF21" s="2">
        <f t="shared" si="5"/>
        <v>1.1119368103519303</v>
      </c>
    </row>
    <row r="22" spans="1:32" x14ac:dyDescent="0.5">
      <c r="A22" s="2" t="s">
        <v>48</v>
      </c>
      <c r="B22" s="2">
        <v>16.329999999999998</v>
      </c>
      <c r="C22" s="2">
        <v>19.45</v>
      </c>
      <c r="D22" s="2">
        <v>7.08</v>
      </c>
      <c r="E22" s="2">
        <v>67.84</v>
      </c>
      <c r="F22" s="2">
        <v>3.72</v>
      </c>
      <c r="G22" s="2">
        <v>1.69</v>
      </c>
      <c r="H22" s="2">
        <v>9.0299999999999994</v>
      </c>
      <c r="I22" s="2">
        <v>40.06</v>
      </c>
      <c r="J22" s="2">
        <v>94.26</v>
      </c>
      <c r="K22" s="2">
        <v>39.29</v>
      </c>
      <c r="L22" s="2">
        <v>43.44</v>
      </c>
      <c r="M22" s="2">
        <v>81.400000000000006</v>
      </c>
      <c r="N22" s="2">
        <v>81.010000000000005</v>
      </c>
      <c r="O22" s="2">
        <v>73.37</v>
      </c>
      <c r="P22" s="2">
        <v>92.58</v>
      </c>
      <c r="Q22" s="2">
        <v>44.5</v>
      </c>
      <c r="R22" s="2">
        <v>31.34</v>
      </c>
      <c r="S22" s="2">
        <v>64.27</v>
      </c>
      <c r="T22" s="2">
        <v>85.03</v>
      </c>
      <c r="U22" s="2">
        <v>41.18</v>
      </c>
      <c r="V22" s="2">
        <v>30.97</v>
      </c>
      <c r="X22" s="2">
        <f t="shared" si="0"/>
        <v>17.877142857142857</v>
      </c>
      <c r="Y22" s="2">
        <f t="shared" si="1"/>
        <v>64.69</v>
      </c>
      <c r="Z22" s="2">
        <f t="shared" si="2"/>
        <v>55.695714285714288</v>
      </c>
      <c r="AB22" s="2">
        <f t="shared" si="3"/>
        <v>3.6185871823557614</v>
      </c>
      <c r="AD22" s="2">
        <f t="shared" si="4"/>
        <v>3.1154706728464121</v>
      </c>
      <c r="AF22" s="2">
        <f t="shared" si="5"/>
        <v>0.86096327540136486</v>
      </c>
    </row>
    <row r="23" spans="1:32" x14ac:dyDescent="0.5">
      <c r="A23" s="2" t="s">
        <v>49</v>
      </c>
      <c r="B23" s="2">
        <v>5.0199999999999996</v>
      </c>
      <c r="C23" s="2">
        <v>12.65</v>
      </c>
      <c r="D23" s="2">
        <v>0.61</v>
      </c>
      <c r="E23" s="2">
        <v>1.41</v>
      </c>
      <c r="F23" s="2">
        <v>0.7</v>
      </c>
      <c r="G23" s="2">
        <v>1</v>
      </c>
      <c r="H23" s="2">
        <v>1.94</v>
      </c>
      <c r="I23" s="2">
        <v>4.1100000000000003</v>
      </c>
      <c r="J23" s="2">
        <v>7.16</v>
      </c>
      <c r="K23" s="2">
        <v>3.87</v>
      </c>
      <c r="L23" s="2">
        <v>4.13</v>
      </c>
      <c r="M23" s="2">
        <v>6.35</v>
      </c>
      <c r="N23" s="2">
        <v>5.28</v>
      </c>
      <c r="O23" s="2">
        <v>11.42</v>
      </c>
      <c r="P23" s="2">
        <v>19.6175</v>
      </c>
      <c r="Q23" s="2">
        <v>19.6175</v>
      </c>
      <c r="R23" s="2">
        <v>4.45</v>
      </c>
      <c r="S23" s="2">
        <v>4.21</v>
      </c>
      <c r="T23" s="2">
        <v>9.69</v>
      </c>
      <c r="U23" s="2">
        <v>6.15</v>
      </c>
      <c r="V23" s="2">
        <v>6.15</v>
      </c>
      <c r="X23" s="2">
        <f t="shared" si="0"/>
        <v>3.3328571428571432</v>
      </c>
      <c r="Y23" s="2">
        <f t="shared" si="1"/>
        <v>6.0457142857142854</v>
      </c>
      <c r="Z23" s="2">
        <f t="shared" si="2"/>
        <v>9.9835714285714285</v>
      </c>
      <c r="AB23" s="2">
        <f t="shared" si="3"/>
        <v>1.8139734247749675</v>
      </c>
      <c r="AD23" s="2">
        <f t="shared" si="4"/>
        <v>2.9954993570510071</v>
      </c>
      <c r="AF23" s="2">
        <f t="shared" si="5"/>
        <v>1.6513468809073726</v>
      </c>
    </row>
    <row r="24" spans="1:32" x14ac:dyDescent="0.5">
      <c r="A24" s="2" t="s">
        <v>50</v>
      </c>
      <c r="B24" s="2">
        <v>0.81</v>
      </c>
      <c r="C24" s="2">
        <v>1.74</v>
      </c>
      <c r="D24" s="2">
        <v>0.91</v>
      </c>
      <c r="E24" s="2">
        <v>1.21</v>
      </c>
      <c r="F24" s="2">
        <v>0.3</v>
      </c>
      <c r="G24" s="2">
        <v>0.46</v>
      </c>
      <c r="H24" s="2">
        <v>0.47</v>
      </c>
      <c r="I24" s="2">
        <v>1.27</v>
      </c>
      <c r="J24" s="2">
        <v>2.44</v>
      </c>
      <c r="K24" s="2">
        <v>1.55</v>
      </c>
      <c r="L24" s="2">
        <v>1.68</v>
      </c>
      <c r="M24" s="2">
        <v>2.58</v>
      </c>
      <c r="N24" s="2">
        <v>1.77</v>
      </c>
      <c r="O24" s="2">
        <v>1.38</v>
      </c>
      <c r="P24" s="2">
        <v>4.4325000000000001</v>
      </c>
      <c r="Q24" s="2">
        <v>2.75</v>
      </c>
      <c r="R24" s="2">
        <v>1.28</v>
      </c>
      <c r="S24" s="2">
        <v>1.89</v>
      </c>
      <c r="T24" s="2">
        <v>4.3600000000000003</v>
      </c>
      <c r="U24" s="2">
        <v>1.1000000000000001</v>
      </c>
      <c r="V24" s="2">
        <v>1.67</v>
      </c>
      <c r="X24" s="2">
        <f t="shared" si="0"/>
        <v>0.84285714285714275</v>
      </c>
      <c r="Y24" s="2">
        <f t="shared" si="1"/>
        <v>1.8099999999999998</v>
      </c>
      <c r="Z24" s="2">
        <f t="shared" si="2"/>
        <v>2.4975000000000001</v>
      </c>
      <c r="AB24" s="2">
        <f t="shared" si="3"/>
        <v>2.1474576271186443</v>
      </c>
      <c r="AD24" s="2">
        <f t="shared" si="4"/>
        <v>2.9631355932203394</v>
      </c>
      <c r="AF24" s="2">
        <f t="shared" si="5"/>
        <v>1.3798342541436466</v>
      </c>
    </row>
    <row r="25" spans="1:32" x14ac:dyDescent="0.5">
      <c r="A25" s="2" t="s">
        <v>51</v>
      </c>
      <c r="B25" s="2">
        <v>851.31</v>
      </c>
      <c r="C25" s="2">
        <v>547.98</v>
      </c>
      <c r="D25" s="2">
        <v>793.82</v>
      </c>
      <c r="E25" s="2">
        <v>783.32</v>
      </c>
      <c r="F25" s="2">
        <v>872.65</v>
      </c>
      <c r="G25" s="2">
        <v>758.79</v>
      </c>
      <c r="H25" s="2">
        <v>836.87</v>
      </c>
      <c r="I25" s="2">
        <v>1128.26</v>
      </c>
      <c r="J25" s="2">
        <v>1815.17</v>
      </c>
      <c r="K25" s="2">
        <v>1234.9100000000001</v>
      </c>
      <c r="L25" s="2">
        <v>1321.09</v>
      </c>
      <c r="M25" s="2">
        <v>1129.01</v>
      </c>
      <c r="N25" s="2">
        <v>1309.1400000000001</v>
      </c>
      <c r="O25" s="2">
        <v>2082.9699999999998</v>
      </c>
      <c r="P25" s="2">
        <v>1882.09</v>
      </c>
      <c r="Q25" s="2">
        <v>2358.1999999999998</v>
      </c>
      <c r="R25" s="2">
        <v>2379.48</v>
      </c>
      <c r="S25" s="2">
        <v>2395.19</v>
      </c>
      <c r="T25" s="2">
        <v>2360.5700000000002</v>
      </c>
      <c r="U25" s="2">
        <v>2431.12</v>
      </c>
      <c r="V25" s="2">
        <v>1635.76</v>
      </c>
      <c r="X25" s="2">
        <f t="shared" si="0"/>
        <v>777.82</v>
      </c>
      <c r="Y25" s="2">
        <f t="shared" si="1"/>
        <v>1431.507142857143</v>
      </c>
      <c r="Z25" s="2">
        <f t="shared" si="2"/>
        <v>2206.0585714285717</v>
      </c>
      <c r="AB25" s="2">
        <f t="shared" si="3"/>
        <v>1.8404092757413577</v>
      </c>
      <c r="AD25" s="2">
        <f t="shared" si="4"/>
        <v>2.836207054882327</v>
      </c>
      <c r="AF25" s="2">
        <f t="shared" si="5"/>
        <v>1.5410740927394204</v>
      </c>
    </row>
    <row r="26" spans="1:32" x14ac:dyDescent="0.5">
      <c r="A26" s="2" t="s">
        <v>52</v>
      </c>
      <c r="B26" s="2">
        <v>576.26</v>
      </c>
      <c r="C26" s="2">
        <v>512.57000000000005</v>
      </c>
      <c r="D26" s="2">
        <v>427.11</v>
      </c>
      <c r="E26" s="2">
        <v>639.04</v>
      </c>
      <c r="F26" s="2">
        <v>190.68</v>
      </c>
      <c r="G26" s="2">
        <v>84.73</v>
      </c>
      <c r="H26" s="2">
        <v>240.11</v>
      </c>
      <c r="I26" s="2">
        <v>789.16</v>
      </c>
      <c r="J26" s="2">
        <v>2035.97</v>
      </c>
      <c r="K26" s="2">
        <v>1214.8800000000001</v>
      </c>
      <c r="L26" s="2">
        <v>2124.9699999999998</v>
      </c>
      <c r="M26" s="2">
        <v>1278.47</v>
      </c>
      <c r="N26" s="2">
        <v>552.86</v>
      </c>
      <c r="O26" s="2">
        <v>100.47</v>
      </c>
      <c r="P26" s="2">
        <v>581.78</v>
      </c>
      <c r="Q26" s="2">
        <v>574.88</v>
      </c>
      <c r="R26" s="2">
        <v>711.3</v>
      </c>
      <c r="S26" s="2">
        <v>793.64</v>
      </c>
      <c r="T26" s="2">
        <v>2259.64</v>
      </c>
      <c r="U26" s="2">
        <v>2442.1925000000001</v>
      </c>
      <c r="V26" s="2">
        <v>196.18</v>
      </c>
      <c r="X26" s="2">
        <f t="shared" si="0"/>
        <v>381.5</v>
      </c>
      <c r="Y26" s="2">
        <f t="shared" si="1"/>
        <v>1156.6828571428571</v>
      </c>
      <c r="Z26" s="2">
        <f t="shared" si="2"/>
        <v>1079.944642857143</v>
      </c>
      <c r="AB26" s="2">
        <f t="shared" si="3"/>
        <v>3.0319340947388129</v>
      </c>
      <c r="AD26" s="2">
        <f t="shared" si="4"/>
        <v>2.8307854334394311</v>
      </c>
      <c r="AF26" s="2">
        <f t="shared" si="5"/>
        <v>0.93365665116256114</v>
      </c>
    </row>
    <row r="27" spans="1:32" x14ac:dyDescent="0.5">
      <c r="A27" s="2" t="s">
        <v>53</v>
      </c>
      <c r="B27" s="2">
        <v>866.33</v>
      </c>
      <c r="C27" s="2">
        <v>1163.2</v>
      </c>
      <c r="D27" s="2">
        <v>317.33</v>
      </c>
      <c r="E27" s="2">
        <v>448.59</v>
      </c>
      <c r="F27" s="2">
        <v>253.01</v>
      </c>
      <c r="G27" s="2">
        <v>348.61</v>
      </c>
      <c r="H27" s="2">
        <v>356.12</v>
      </c>
      <c r="I27" s="2">
        <v>1458.69</v>
      </c>
      <c r="J27" s="2">
        <v>1209.25</v>
      </c>
      <c r="K27" s="2">
        <v>1450.31</v>
      </c>
      <c r="L27" s="2">
        <v>2483.2800000000002</v>
      </c>
      <c r="M27" s="2">
        <v>1296.21</v>
      </c>
      <c r="N27" s="2">
        <v>1463.69</v>
      </c>
      <c r="O27" s="2">
        <v>1549.75</v>
      </c>
      <c r="P27" s="2">
        <v>1664.19</v>
      </c>
      <c r="Q27" s="2">
        <v>2583.7562499999999</v>
      </c>
      <c r="R27" s="2">
        <v>1138.53</v>
      </c>
      <c r="S27" s="2">
        <v>1123.3800000000001</v>
      </c>
      <c r="T27" s="2">
        <v>1449.92</v>
      </c>
      <c r="U27" s="2">
        <v>1758.59</v>
      </c>
      <c r="V27" s="2">
        <v>833.94</v>
      </c>
      <c r="X27" s="2">
        <f t="shared" si="0"/>
        <v>536.16999999999996</v>
      </c>
      <c r="Y27" s="2">
        <f t="shared" si="1"/>
        <v>1558.74</v>
      </c>
      <c r="Z27" s="2">
        <f t="shared" si="2"/>
        <v>1507.4723214285714</v>
      </c>
      <c r="AB27" s="2">
        <f t="shared" si="3"/>
        <v>2.9071749631646679</v>
      </c>
      <c r="AD27" s="2">
        <f t="shared" si="4"/>
        <v>2.8115566358217943</v>
      </c>
      <c r="AF27" s="2">
        <f t="shared" si="5"/>
        <v>0.96710953810678579</v>
      </c>
    </row>
    <row r="28" spans="1:32" x14ac:dyDescent="0.5">
      <c r="A28" s="2" t="s">
        <v>54</v>
      </c>
      <c r="B28" s="2">
        <v>10231.36</v>
      </c>
      <c r="C28" s="2">
        <v>13752.5</v>
      </c>
      <c r="D28" s="2">
        <v>10220.23</v>
      </c>
      <c r="E28" s="2">
        <v>7105.81</v>
      </c>
      <c r="F28" s="2">
        <v>3546.16</v>
      </c>
      <c r="G28" s="2">
        <v>5340.5</v>
      </c>
      <c r="H28" s="2">
        <v>234.364</v>
      </c>
      <c r="I28" s="2">
        <v>8986.65</v>
      </c>
      <c r="J28" s="2">
        <v>13555.27</v>
      </c>
      <c r="K28" s="2">
        <v>14267.77</v>
      </c>
      <c r="L28" s="2">
        <v>15999.36</v>
      </c>
      <c r="M28" s="2">
        <v>13415.14</v>
      </c>
      <c r="N28" s="2">
        <v>9634.52</v>
      </c>
      <c r="O28" s="2">
        <v>13690.92</v>
      </c>
      <c r="P28" s="2">
        <v>31285.52</v>
      </c>
      <c r="Q28" s="2">
        <v>22373.5</v>
      </c>
      <c r="R28" s="2">
        <v>19420.22</v>
      </c>
      <c r="S28" s="2">
        <v>20376.89</v>
      </c>
      <c r="T28" s="2">
        <v>21175.53</v>
      </c>
      <c r="U28" s="2">
        <v>18489.689999999999</v>
      </c>
      <c r="V28" s="2">
        <v>8575.91</v>
      </c>
      <c r="X28" s="2">
        <f t="shared" si="0"/>
        <v>7204.4177142857143</v>
      </c>
      <c r="Y28" s="2">
        <f t="shared" si="1"/>
        <v>12792.804285714286</v>
      </c>
      <c r="Z28" s="2">
        <f t="shared" si="2"/>
        <v>20242.465714285714</v>
      </c>
      <c r="AB28" s="2">
        <f t="shared" si="3"/>
        <v>1.7756888610646913</v>
      </c>
      <c r="AD28" s="2">
        <f t="shared" si="4"/>
        <v>2.8097296016230042</v>
      </c>
      <c r="AF28" s="2">
        <f t="shared" si="5"/>
        <v>1.582332165973215</v>
      </c>
    </row>
    <row r="29" spans="1:32" x14ac:dyDescent="0.5">
      <c r="A29" s="2" t="s">
        <v>55</v>
      </c>
      <c r="B29" s="2">
        <v>4.9779999999999998</v>
      </c>
      <c r="C29" s="2">
        <v>537.94000000000005</v>
      </c>
      <c r="D29" s="2">
        <v>272.10000000000002</v>
      </c>
      <c r="E29" s="2">
        <v>4.9779999999999998</v>
      </c>
      <c r="F29" s="2">
        <v>4.9779999999999998</v>
      </c>
      <c r="G29" s="2">
        <v>135.51</v>
      </c>
      <c r="H29" s="2">
        <v>84.61</v>
      </c>
      <c r="I29" s="2">
        <v>172.01</v>
      </c>
      <c r="J29" s="2">
        <v>266.05</v>
      </c>
      <c r="K29" s="2">
        <v>396.56</v>
      </c>
      <c r="L29" s="2">
        <v>235.93</v>
      </c>
      <c r="M29" s="2">
        <v>275.68</v>
      </c>
      <c r="N29" s="2">
        <v>246.3</v>
      </c>
      <c r="O29" s="2">
        <v>953.81500000000005</v>
      </c>
      <c r="P29" s="2">
        <v>953.81500000000005</v>
      </c>
      <c r="Q29" s="2">
        <v>898.67</v>
      </c>
      <c r="R29" s="2">
        <v>306.26</v>
      </c>
      <c r="S29" s="2">
        <v>177.11</v>
      </c>
      <c r="T29" s="2">
        <v>110.07</v>
      </c>
      <c r="U29" s="2">
        <v>82.03</v>
      </c>
      <c r="V29" s="2">
        <v>49.78</v>
      </c>
      <c r="X29" s="2">
        <f t="shared" si="0"/>
        <v>149.29914285714284</v>
      </c>
      <c r="Y29" s="2">
        <f t="shared" si="1"/>
        <v>363.76357142857148</v>
      </c>
      <c r="Z29" s="2">
        <f t="shared" si="2"/>
        <v>368.24785714285724</v>
      </c>
      <c r="AB29" s="2">
        <f t="shared" si="3"/>
        <v>2.4364746137668005</v>
      </c>
      <c r="AD29" s="2">
        <f t="shared" si="4"/>
        <v>2.4665101895140542</v>
      </c>
      <c r="AF29" s="2">
        <f t="shared" si="5"/>
        <v>1.0123274732999654</v>
      </c>
    </row>
    <row r="30" spans="1:32" x14ac:dyDescent="0.5">
      <c r="A30" s="2" t="s">
        <v>56</v>
      </c>
      <c r="B30" s="2">
        <v>3007.92</v>
      </c>
      <c r="C30" s="2">
        <v>2393.98</v>
      </c>
      <c r="D30" s="2">
        <v>2361.1</v>
      </c>
      <c r="E30" s="2">
        <v>2391.2800000000002</v>
      </c>
      <c r="F30" s="2">
        <v>62.82</v>
      </c>
      <c r="G30" s="2">
        <v>675.63</v>
      </c>
      <c r="H30" s="2">
        <v>1500.81</v>
      </c>
      <c r="I30" s="2">
        <v>3737.2</v>
      </c>
      <c r="J30" s="2">
        <v>3762.8</v>
      </c>
      <c r="K30" s="2">
        <v>1884.23</v>
      </c>
      <c r="L30" s="2">
        <v>2859.11</v>
      </c>
      <c r="M30" s="2">
        <v>2827.34</v>
      </c>
      <c r="N30" s="2">
        <v>3730.11</v>
      </c>
      <c r="O30" s="2">
        <v>5387.65</v>
      </c>
      <c r="P30" s="2">
        <v>5816.45</v>
      </c>
      <c r="Q30" s="2">
        <v>6169.90625</v>
      </c>
      <c r="R30" s="2">
        <v>3624.36</v>
      </c>
      <c r="S30" s="2">
        <v>4209.2299999999996</v>
      </c>
      <c r="T30" s="2">
        <v>2869.8</v>
      </c>
      <c r="U30" s="2">
        <v>4708.42</v>
      </c>
      <c r="V30" s="2">
        <v>2781.89</v>
      </c>
      <c r="X30" s="2">
        <f t="shared" si="0"/>
        <v>1770.5057142857142</v>
      </c>
      <c r="Y30" s="2">
        <f t="shared" si="1"/>
        <v>3455.491428571429</v>
      </c>
      <c r="Z30" s="2">
        <f t="shared" si="2"/>
        <v>4311.4366071428576</v>
      </c>
      <c r="AB30" s="2">
        <f t="shared" si="3"/>
        <v>1.9516974165573358</v>
      </c>
      <c r="AD30" s="2">
        <f t="shared" si="4"/>
        <v>2.4351441355738559</v>
      </c>
      <c r="AF30" s="2">
        <f t="shared" si="5"/>
        <v>1.2477057739151429</v>
      </c>
    </row>
    <row r="31" spans="1:32" x14ac:dyDescent="0.5">
      <c r="A31" s="2" t="s">
        <v>57</v>
      </c>
      <c r="B31" s="2">
        <v>1.29</v>
      </c>
      <c r="C31" s="2">
        <v>6.67</v>
      </c>
      <c r="D31" s="2">
        <v>0.35</v>
      </c>
      <c r="E31" s="2">
        <v>12.92</v>
      </c>
      <c r="F31" s="2">
        <v>1.37</v>
      </c>
      <c r="G31" s="2">
        <v>0.88</v>
      </c>
      <c r="H31" s="2">
        <v>1.07</v>
      </c>
      <c r="I31" s="2">
        <v>5.94</v>
      </c>
      <c r="J31" s="2">
        <v>10.16</v>
      </c>
      <c r="K31" s="2">
        <v>5.65</v>
      </c>
      <c r="L31" s="2">
        <v>6.74</v>
      </c>
      <c r="M31" s="2">
        <v>7.54</v>
      </c>
      <c r="N31" s="2">
        <v>7.64</v>
      </c>
      <c r="O31" s="2">
        <v>5.49</v>
      </c>
      <c r="P31" s="2">
        <v>13.24</v>
      </c>
      <c r="Q31" s="2">
        <v>7.77</v>
      </c>
      <c r="R31" s="2">
        <v>5.3</v>
      </c>
      <c r="S31" s="2">
        <v>7.12</v>
      </c>
      <c r="T31" s="2">
        <v>13.313750000000001</v>
      </c>
      <c r="U31" s="2">
        <v>7.53</v>
      </c>
      <c r="V31" s="2">
        <v>5.21</v>
      </c>
      <c r="X31" s="2">
        <f t="shared" si="0"/>
        <v>3.5071428571428571</v>
      </c>
      <c r="Y31" s="2">
        <f t="shared" si="1"/>
        <v>7.0228571428571431</v>
      </c>
      <c r="Z31" s="2">
        <f t="shared" si="2"/>
        <v>8.4976785714285707</v>
      </c>
      <c r="AB31" s="2">
        <f t="shared" si="3"/>
        <v>2.0024439918533607</v>
      </c>
      <c r="AD31" s="2">
        <f t="shared" si="4"/>
        <v>2.4229633401221995</v>
      </c>
      <c r="AF31" s="2">
        <f t="shared" si="5"/>
        <v>1.2100030512611879</v>
      </c>
    </row>
    <row r="32" spans="1:32" x14ac:dyDescent="0.5">
      <c r="A32" s="2" t="s">
        <v>58</v>
      </c>
      <c r="B32" s="2">
        <v>78.91</v>
      </c>
      <c r="C32" s="2">
        <v>64.63</v>
      </c>
      <c r="D32" s="2">
        <v>35.700000000000003</v>
      </c>
      <c r="E32" s="2">
        <v>45.22</v>
      </c>
      <c r="F32" s="2">
        <v>24.69</v>
      </c>
      <c r="G32" s="2">
        <v>36.299999999999997</v>
      </c>
      <c r="H32" s="2">
        <v>52.8</v>
      </c>
      <c r="I32" s="2">
        <v>63.53</v>
      </c>
      <c r="J32" s="2">
        <v>99.29</v>
      </c>
      <c r="K32" s="2">
        <v>53.62</v>
      </c>
      <c r="L32" s="2">
        <v>248.73374999999999</v>
      </c>
      <c r="M32" s="2">
        <v>68.59</v>
      </c>
      <c r="N32" s="2">
        <v>135.18</v>
      </c>
      <c r="O32" s="2">
        <v>242.27</v>
      </c>
      <c r="P32" s="2">
        <v>234.93</v>
      </c>
      <c r="Q32" s="2">
        <v>130.33000000000001</v>
      </c>
      <c r="R32" s="2">
        <v>34.99</v>
      </c>
      <c r="S32" s="2">
        <v>71.709999999999994</v>
      </c>
      <c r="T32" s="2">
        <v>119.72</v>
      </c>
      <c r="U32" s="2">
        <v>105.15</v>
      </c>
      <c r="V32" s="2">
        <v>72.819999999999993</v>
      </c>
      <c r="X32" s="2">
        <f t="shared" si="0"/>
        <v>48.321428571428569</v>
      </c>
      <c r="Y32" s="2">
        <f t="shared" si="1"/>
        <v>130.17339285714283</v>
      </c>
      <c r="Z32" s="2">
        <f t="shared" si="2"/>
        <v>109.94999999999997</v>
      </c>
      <c r="AB32" s="2">
        <f t="shared" si="3"/>
        <v>2.6939061345158901</v>
      </c>
      <c r="AD32" s="2">
        <f t="shared" si="4"/>
        <v>2.2753880266075384</v>
      </c>
      <c r="AF32" s="2">
        <f t="shared" si="5"/>
        <v>0.84464265382299153</v>
      </c>
    </row>
    <row r="33" spans="1:32" x14ac:dyDescent="0.5">
      <c r="A33" s="3" t="s">
        <v>59</v>
      </c>
      <c r="B33" s="3">
        <v>64089.45</v>
      </c>
      <c r="C33" s="3">
        <v>66602.350000000006</v>
      </c>
      <c r="D33" s="3">
        <v>56988.81</v>
      </c>
      <c r="E33" s="3">
        <v>60697.39</v>
      </c>
      <c r="F33" s="3">
        <v>61783.93</v>
      </c>
      <c r="G33" s="3">
        <v>43942.8</v>
      </c>
      <c r="H33" s="3">
        <v>68532.88</v>
      </c>
      <c r="I33" s="3">
        <v>103173.36</v>
      </c>
      <c r="J33" s="3">
        <v>129193.12</v>
      </c>
      <c r="K33" s="3">
        <v>84227.88</v>
      </c>
      <c r="L33" s="3">
        <v>108022.46</v>
      </c>
      <c r="M33" s="3">
        <v>123241.12</v>
      </c>
      <c r="N33" s="3">
        <v>144085.44</v>
      </c>
      <c r="O33" s="3">
        <v>91575.71</v>
      </c>
      <c r="P33" s="5">
        <v>99256.8</v>
      </c>
      <c r="Q33" s="5">
        <v>146904.4</v>
      </c>
      <c r="R33" s="5">
        <v>168186.84</v>
      </c>
      <c r="S33" s="5">
        <v>132145.76</v>
      </c>
      <c r="T33" s="5">
        <v>135974.19</v>
      </c>
      <c r="U33" s="5">
        <v>135543.47</v>
      </c>
      <c r="V33" s="5">
        <v>141565.51</v>
      </c>
      <c r="W33" s="3"/>
      <c r="X33" s="2">
        <f>AVERAGE(B33:H33)</f>
        <v>60376.801428571423</v>
      </c>
      <c r="Y33" s="2">
        <f>AVERAGE(I33:O33)</f>
        <v>111931.29857142855</v>
      </c>
      <c r="Z33" s="2">
        <f>AVERAGE(P33:V33)</f>
        <v>137082.42428571428</v>
      </c>
      <c r="AB33" s="2">
        <f t="shared" si="3"/>
        <v>1.8538792371081219</v>
      </c>
      <c r="AD33" s="2">
        <f t="shared" si="4"/>
        <v>2.2704486001612589</v>
      </c>
      <c r="AF33" s="2">
        <f t="shared" si="5"/>
        <v>1.2247014555829141</v>
      </c>
    </row>
    <row r="34" spans="1:32" x14ac:dyDescent="0.5">
      <c r="A34" s="2" t="s">
        <v>60</v>
      </c>
      <c r="B34" s="2">
        <v>15.032</v>
      </c>
      <c r="C34" s="2">
        <v>162.88999999999999</v>
      </c>
      <c r="D34" s="2">
        <v>396.3</v>
      </c>
      <c r="E34" s="2">
        <v>299.10000000000002</v>
      </c>
      <c r="F34" s="2">
        <v>197.36</v>
      </c>
      <c r="G34" s="2">
        <v>186.02</v>
      </c>
      <c r="H34" s="2">
        <v>15.032</v>
      </c>
      <c r="I34" s="2">
        <v>1389.41875</v>
      </c>
      <c r="J34" s="2">
        <v>186.77</v>
      </c>
      <c r="K34" s="2">
        <v>165.89</v>
      </c>
      <c r="L34" s="2">
        <v>723.19</v>
      </c>
      <c r="M34" s="2">
        <v>15.032</v>
      </c>
      <c r="N34" s="2">
        <v>462.29</v>
      </c>
      <c r="O34" s="2">
        <v>1389.41875</v>
      </c>
      <c r="P34" s="2">
        <v>270.16000000000003</v>
      </c>
      <c r="Q34" s="2">
        <v>261.27</v>
      </c>
      <c r="R34" s="2">
        <v>301.35000000000002</v>
      </c>
      <c r="S34" s="2">
        <v>332.5</v>
      </c>
      <c r="T34" s="2">
        <v>150.32</v>
      </c>
      <c r="U34" s="2">
        <v>907.17</v>
      </c>
      <c r="V34" s="2">
        <v>644.75</v>
      </c>
      <c r="X34" s="2">
        <f t="shared" ref="X34:X65" si="6">AVERAGE(B34:H34)</f>
        <v>181.67628571428571</v>
      </c>
      <c r="Y34" s="2">
        <f t="shared" ref="Y34:Y65" si="7">AVERAGE(I34:O34)</f>
        <v>618.85850000000005</v>
      </c>
      <c r="Z34" s="2">
        <f t="shared" ref="Z34:Z65" si="8">AVERAGE(P34:V34)</f>
        <v>409.64571428571429</v>
      </c>
      <c r="AB34" s="2">
        <f t="shared" ref="AB34:AB65" si="9">Y34/X34</f>
        <v>3.4063801864226328</v>
      </c>
      <c r="AD34" s="2">
        <f t="shared" ref="AD34:AD65" si="10">Z34/X34</f>
        <v>2.2548111476142023</v>
      </c>
      <c r="AF34" s="2">
        <f t="shared" ref="AF34:AF65" si="11">Z34/Y34</f>
        <v>0.66193760655418687</v>
      </c>
    </row>
    <row r="35" spans="1:32" x14ac:dyDescent="0.5">
      <c r="A35" s="2" t="s">
        <v>61</v>
      </c>
      <c r="B35" s="2">
        <v>16807.18</v>
      </c>
      <c r="C35" s="2">
        <v>14549.52</v>
      </c>
      <c r="D35" s="2">
        <v>21030.85</v>
      </c>
      <c r="E35" s="2">
        <v>17160.060000000001</v>
      </c>
      <c r="F35" s="2">
        <v>22648.23</v>
      </c>
      <c r="G35" s="2">
        <v>12303.62</v>
      </c>
      <c r="H35" s="2">
        <v>3834.17</v>
      </c>
      <c r="I35" s="2">
        <v>35136.76</v>
      </c>
      <c r="J35" s="2">
        <v>17134.22</v>
      </c>
      <c r="K35" s="2">
        <v>39888.86</v>
      </c>
      <c r="L35" s="2">
        <v>15431.94</v>
      </c>
      <c r="M35" s="2">
        <v>37766.65</v>
      </c>
      <c r="N35" s="2">
        <v>33742.03</v>
      </c>
      <c r="O35" s="2">
        <v>31342.639999999999</v>
      </c>
      <c r="P35" s="2">
        <v>30437.82</v>
      </c>
      <c r="Q35" s="2">
        <v>36639.79</v>
      </c>
      <c r="R35" s="2">
        <v>34935.74</v>
      </c>
      <c r="S35" s="2">
        <v>41696.69</v>
      </c>
      <c r="T35" s="2">
        <v>24563.11</v>
      </c>
      <c r="U35" s="2">
        <v>37235.17</v>
      </c>
      <c r="V35" s="2">
        <v>33551.339999999997</v>
      </c>
      <c r="X35" s="2">
        <f t="shared" si="6"/>
        <v>15476.232857142855</v>
      </c>
      <c r="Y35" s="2">
        <f t="shared" si="7"/>
        <v>30063.299999999996</v>
      </c>
      <c r="Z35" s="2">
        <f t="shared" si="8"/>
        <v>34151.379999999997</v>
      </c>
      <c r="AB35" s="2">
        <f t="shared" si="9"/>
        <v>1.9425463727191639</v>
      </c>
      <c r="AD35" s="2">
        <f t="shared" si="10"/>
        <v>2.2066985108871551</v>
      </c>
      <c r="AF35" s="2">
        <f t="shared" si="11"/>
        <v>1.1359824104472895</v>
      </c>
    </row>
    <row r="36" spans="1:32" x14ac:dyDescent="0.5">
      <c r="A36" s="2" t="s">
        <v>62</v>
      </c>
      <c r="B36" s="2">
        <v>430.47</v>
      </c>
      <c r="C36" s="2">
        <v>148.34</v>
      </c>
      <c r="D36" s="2">
        <v>161.85</v>
      </c>
      <c r="E36" s="2">
        <v>4.9359999999999999</v>
      </c>
      <c r="F36" s="2">
        <v>4.9359999999999999</v>
      </c>
      <c r="G36" s="2">
        <v>4.9359999999999999</v>
      </c>
      <c r="H36" s="2">
        <v>4.9359999999999999</v>
      </c>
      <c r="I36" s="2">
        <v>207.47</v>
      </c>
      <c r="J36" s="2">
        <v>164.35</v>
      </c>
      <c r="K36" s="2">
        <v>271.29000000000002</v>
      </c>
      <c r="L36" s="2">
        <v>392.87</v>
      </c>
      <c r="M36" s="2">
        <v>273.25</v>
      </c>
      <c r="N36" s="2">
        <v>263.02999999999997</v>
      </c>
      <c r="O36" s="2">
        <v>116.4</v>
      </c>
      <c r="P36" s="2">
        <v>526.90374999999995</v>
      </c>
      <c r="Q36" s="2">
        <v>410.86</v>
      </c>
      <c r="R36" s="2">
        <v>102.61</v>
      </c>
      <c r="S36" s="2">
        <v>161.87</v>
      </c>
      <c r="T36" s="2">
        <v>215.61</v>
      </c>
      <c r="U36" s="2">
        <v>151.57</v>
      </c>
      <c r="V36" s="2">
        <v>98.96</v>
      </c>
      <c r="X36" s="2">
        <f t="shared" si="6"/>
        <v>108.6291428571429</v>
      </c>
      <c r="Y36" s="2">
        <f t="shared" si="7"/>
        <v>241.23714285714286</v>
      </c>
      <c r="Z36" s="2">
        <f t="shared" si="8"/>
        <v>238.34053571428575</v>
      </c>
      <c r="AB36" s="2">
        <f t="shared" si="9"/>
        <v>2.220740553705661</v>
      </c>
      <c r="AD36" s="2">
        <f t="shared" si="10"/>
        <v>2.1940754519965697</v>
      </c>
      <c r="AF36" s="2">
        <f t="shared" si="11"/>
        <v>0.98799269835254</v>
      </c>
    </row>
    <row r="37" spans="1:32" x14ac:dyDescent="0.5">
      <c r="A37" s="2" t="s">
        <v>63</v>
      </c>
      <c r="B37" s="2">
        <v>6.36</v>
      </c>
      <c r="C37" s="2">
        <v>10.06</v>
      </c>
      <c r="D37" s="2">
        <v>4.13</v>
      </c>
      <c r="E37" s="2">
        <v>6.71</v>
      </c>
      <c r="F37" s="2">
        <v>2.72</v>
      </c>
      <c r="G37" s="2">
        <v>1.82</v>
      </c>
      <c r="H37" s="2">
        <v>3.21</v>
      </c>
      <c r="I37" s="2">
        <v>6.63</v>
      </c>
      <c r="J37" s="2">
        <v>12.14</v>
      </c>
      <c r="K37" s="2">
        <v>6.79</v>
      </c>
      <c r="L37" s="2">
        <v>8.65</v>
      </c>
      <c r="M37" s="2">
        <v>7.85</v>
      </c>
      <c r="N37" s="2">
        <v>9.23</v>
      </c>
      <c r="O37" s="2">
        <v>10.7</v>
      </c>
      <c r="P37" s="2">
        <v>17.57</v>
      </c>
      <c r="Q37" s="2">
        <v>12.76</v>
      </c>
      <c r="R37" s="2">
        <v>7.51</v>
      </c>
      <c r="S37" s="2">
        <v>12.44</v>
      </c>
      <c r="T37" s="2">
        <v>12.26</v>
      </c>
      <c r="U37" s="2">
        <v>7.71</v>
      </c>
      <c r="V37" s="2">
        <v>6.21</v>
      </c>
      <c r="X37" s="2">
        <f t="shared" si="6"/>
        <v>5.0014285714285709</v>
      </c>
      <c r="Y37" s="2">
        <f t="shared" si="7"/>
        <v>8.8557142857142868</v>
      </c>
      <c r="Z37" s="2">
        <f t="shared" si="8"/>
        <v>10.92285714285714</v>
      </c>
      <c r="AB37" s="2">
        <f t="shared" si="9"/>
        <v>1.7706369608683237</v>
      </c>
      <c r="AD37" s="2">
        <f t="shared" si="10"/>
        <v>2.1839474435875461</v>
      </c>
      <c r="AF37" s="2">
        <f t="shared" si="11"/>
        <v>1.233424745926762</v>
      </c>
    </row>
    <row r="38" spans="1:32" x14ac:dyDescent="0.5">
      <c r="A38" s="2" t="s">
        <v>64</v>
      </c>
      <c r="B38" s="2">
        <v>1.8520000000000001</v>
      </c>
      <c r="C38" s="2">
        <v>44.52</v>
      </c>
      <c r="D38" s="2">
        <v>70.44</v>
      </c>
      <c r="E38" s="2">
        <v>1.8520000000000001</v>
      </c>
      <c r="F38" s="2">
        <v>297.81375000000003</v>
      </c>
      <c r="G38" s="2">
        <v>1.8520000000000001</v>
      </c>
      <c r="H38" s="2">
        <v>18.52</v>
      </c>
      <c r="I38" s="2">
        <v>81.61</v>
      </c>
      <c r="J38" s="2">
        <v>63.11</v>
      </c>
      <c r="K38" s="2">
        <v>82.19</v>
      </c>
      <c r="L38" s="2">
        <v>77.819999999999993</v>
      </c>
      <c r="M38" s="2">
        <v>94.49</v>
      </c>
      <c r="N38" s="2">
        <v>116.09</v>
      </c>
      <c r="O38" s="2">
        <v>297.81375000000003</v>
      </c>
      <c r="P38" s="2">
        <v>297.81375000000003</v>
      </c>
      <c r="Q38" s="2">
        <v>185.73</v>
      </c>
      <c r="R38" s="2">
        <v>96.28</v>
      </c>
      <c r="S38" s="2">
        <v>113.26</v>
      </c>
      <c r="T38" s="2">
        <v>127.34</v>
      </c>
      <c r="U38" s="2">
        <v>107.34</v>
      </c>
      <c r="V38" s="2">
        <v>1.8520000000000001</v>
      </c>
      <c r="X38" s="2">
        <f t="shared" si="6"/>
        <v>62.407107142857136</v>
      </c>
      <c r="Y38" s="2">
        <f t="shared" si="7"/>
        <v>116.16053571428573</v>
      </c>
      <c r="Z38" s="2">
        <f t="shared" si="8"/>
        <v>132.80225000000002</v>
      </c>
      <c r="AB38" s="2">
        <f t="shared" si="9"/>
        <v>1.8613350471186036</v>
      </c>
      <c r="AD38" s="2">
        <f t="shared" si="10"/>
        <v>2.1279988142376189</v>
      </c>
      <c r="AF38" s="2">
        <f t="shared" si="11"/>
        <v>1.1432647859566272</v>
      </c>
    </row>
    <row r="39" spans="1:32" x14ac:dyDescent="0.5">
      <c r="A39" s="2" t="s">
        <v>65</v>
      </c>
      <c r="B39" s="2">
        <v>265.79000000000002</v>
      </c>
      <c r="C39" s="2">
        <v>293.72000000000003</v>
      </c>
      <c r="D39" s="2">
        <v>449.66</v>
      </c>
      <c r="E39" s="2">
        <v>683.35</v>
      </c>
      <c r="F39" s="2">
        <v>297.66000000000003</v>
      </c>
      <c r="G39" s="2">
        <v>176.61</v>
      </c>
      <c r="H39" s="2">
        <v>185.5</v>
      </c>
      <c r="I39" s="2">
        <v>477.96</v>
      </c>
      <c r="J39" s="2">
        <v>457.94</v>
      </c>
      <c r="K39" s="2">
        <v>807.3</v>
      </c>
      <c r="L39" s="2">
        <v>825.18</v>
      </c>
      <c r="M39" s="2">
        <v>795.88</v>
      </c>
      <c r="N39" s="2">
        <v>637.73</v>
      </c>
      <c r="O39" s="2">
        <v>837.25</v>
      </c>
      <c r="P39" s="2">
        <v>1369.1775</v>
      </c>
      <c r="Q39" s="2">
        <v>945.04</v>
      </c>
      <c r="R39" s="2">
        <v>438.77</v>
      </c>
      <c r="S39" s="2">
        <v>679.79</v>
      </c>
      <c r="T39" s="2">
        <v>448.28</v>
      </c>
      <c r="U39" s="2">
        <v>590.80999999999995</v>
      </c>
      <c r="V39" s="2">
        <v>518.28</v>
      </c>
      <c r="X39" s="2">
        <f t="shared" si="6"/>
        <v>336.04142857142858</v>
      </c>
      <c r="Y39" s="2">
        <f t="shared" si="7"/>
        <v>691.31999999999994</v>
      </c>
      <c r="Z39" s="2">
        <f t="shared" si="8"/>
        <v>712.87821428571431</v>
      </c>
      <c r="AB39" s="2">
        <f t="shared" si="9"/>
        <v>2.0572463429254042</v>
      </c>
      <c r="AD39" s="2">
        <f t="shared" si="10"/>
        <v>2.1213997848904684</v>
      </c>
      <c r="AF39" s="2">
        <f t="shared" si="11"/>
        <v>1.0311841322191089</v>
      </c>
    </row>
    <row r="40" spans="1:32" x14ac:dyDescent="0.5">
      <c r="A40" s="2" t="s">
        <v>66</v>
      </c>
      <c r="B40" s="2">
        <v>36196.06</v>
      </c>
      <c r="C40" s="2">
        <v>30031</v>
      </c>
      <c r="D40" s="2">
        <v>29719.23</v>
      </c>
      <c r="E40" s="2">
        <v>30004.79</v>
      </c>
      <c r="F40" s="2">
        <v>29665.03</v>
      </c>
      <c r="G40" s="2">
        <v>23548.29</v>
      </c>
      <c r="H40" s="2">
        <v>32771.86</v>
      </c>
      <c r="I40" s="2">
        <v>54613.71</v>
      </c>
      <c r="J40" s="2">
        <v>69356.13</v>
      </c>
      <c r="K40" s="2">
        <v>54656.52</v>
      </c>
      <c r="L40" s="2">
        <v>66941.16</v>
      </c>
      <c r="M40" s="2">
        <v>67535.55</v>
      </c>
      <c r="N40" s="2">
        <v>75636.460000000006</v>
      </c>
      <c r="O40" s="2">
        <v>67519.5</v>
      </c>
      <c r="P40" s="2">
        <v>67162.539999999994</v>
      </c>
      <c r="Q40" s="2">
        <v>57530.51</v>
      </c>
      <c r="R40" s="2">
        <v>69981.41</v>
      </c>
      <c r="S40" s="2">
        <v>68078.429999999993</v>
      </c>
      <c r="T40" s="2">
        <v>63382.75</v>
      </c>
      <c r="U40" s="2">
        <v>58314.36</v>
      </c>
      <c r="V40" s="2">
        <v>55264.04</v>
      </c>
      <c r="X40" s="2">
        <f t="shared" si="6"/>
        <v>30276.608571428573</v>
      </c>
      <c r="Y40" s="2">
        <f t="shared" si="7"/>
        <v>65179.861428571436</v>
      </c>
      <c r="Z40" s="2">
        <f t="shared" si="8"/>
        <v>62816.291428571429</v>
      </c>
      <c r="AB40" s="2">
        <f t="shared" si="9"/>
        <v>2.1528125012680701</v>
      </c>
      <c r="AD40" s="2">
        <f t="shared" si="10"/>
        <v>2.0747466242916621</v>
      </c>
      <c r="AF40" s="2">
        <f t="shared" si="11"/>
        <v>0.96373772591415874</v>
      </c>
    </row>
    <row r="41" spans="1:32" x14ac:dyDescent="0.5">
      <c r="A41" s="2" t="s">
        <v>67</v>
      </c>
      <c r="B41" s="2">
        <v>672.29</v>
      </c>
      <c r="C41" s="2">
        <v>611.21</v>
      </c>
      <c r="D41" s="2">
        <v>494.28</v>
      </c>
      <c r="E41" s="2">
        <v>360.15</v>
      </c>
      <c r="F41" s="2">
        <v>1003.97</v>
      </c>
      <c r="G41" s="2">
        <v>501.87</v>
      </c>
      <c r="H41" s="2">
        <v>759.96</v>
      </c>
      <c r="I41" s="2">
        <v>393.5</v>
      </c>
      <c r="J41" s="2">
        <v>492.7</v>
      </c>
      <c r="K41" s="2">
        <v>354.36</v>
      </c>
      <c r="L41" s="2">
        <v>1143.6099999999999</v>
      </c>
      <c r="M41" s="2">
        <v>554.35</v>
      </c>
      <c r="N41" s="2">
        <v>1075.8599999999999</v>
      </c>
      <c r="O41" s="2">
        <v>2301.58</v>
      </c>
      <c r="P41" s="2">
        <v>2035.34</v>
      </c>
      <c r="Q41" s="2">
        <v>1177.8399999999999</v>
      </c>
      <c r="R41" s="2">
        <v>403.31</v>
      </c>
      <c r="S41" s="2">
        <v>1373.69</v>
      </c>
      <c r="T41" s="2">
        <v>1944.16</v>
      </c>
      <c r="U41" s="2">
        <v>394.8</v>
      </c>
      <c r="V41" s="2">
        <v>1627.53</v>
      </c>
      <c r="X41" s="2">
        <f t="shared" si="6"/>
        <v>629.10428571428565</v>
      </c>
      <c r="Y41" s="2">
        <f t="shared" si="7"/>
        <v>902.28</v>
      </c>
      <c r="Z41" s="2">
        <f t="shared" si="8"/>
        <v>1279.5242857142857</v>
      </c>
      <c r="AB41" s="2">
        <f t="shared" si="9"/>
        <v>1.4342296189820902</v>
      </c>
      <c r="AD41" s="2">
        <f t="shared" si="10"/>
        <v>2.0338826403980264</v>
      </c>
      <c r="AF41" s="2">
        <f t="shared" si="11"/>
        <v>1.4181011279362123</v>
      </c>
    </row>
    <row r="42" spans="1:32" x14ac:dyDescent="0.5">
      <c r="A42" s="2" t="s">
        <v>68</v>
      </c>
      <c r="B42" s="2">
        <v>6.49</v>
      </c>
      <c r="C42" s="2">
        <v>29.946249999999999</v>
      </c>
      <c r="D42" s="2">
        <v>7.6999999999999999E-2</v>
      </c>
      <c r="E42" s="2">
        <v>2.2799999999999998</v>
      </c>
      <c r="F42" s="2">
        <v>7.6999999999999999E-2</v>
      </c>
      <c r="G42" s="2">
        <v>1.48</v>
      </c>
      <c r="H42" s="2">
        <v>2.5099999999999998</v>
      </c>
      <c r="I42" s="2">
        <v>4.46</v>
      </c>
      <c r="J42" s="2">
        <v>6.55</v>
      </c>
      <c r="K42" s="2">
        <v>5.07</v>
      </c>
      <c r="L42" s="2">
        <v>4.58</v>
      </c>
      <c r="M42" s="2">
        <v>5.65</v>
      </c>
      <c r="N42" s="2">
        <v>6.76</v>
      </c>
      <c r="O42" s="2">
        <v>29.946249999999999</v>
      </c>
      <c r="P42" s="2">
        <v>29.946249999999999</v>
      </c>
      <c r="Q42" s="2">
        <v>29.946249999999999</v>
      </c>
      <c r="R42" s="2">
        <v>2.06</v>
      </c>
      <c r="S42" s="2">
        <v>2.99</v>
      </c>
      <c r="T42" s="2">
        <v>7.69</v>
      </c>
      <c r="U42" s="2">
        <v>4.7699999999999996</v>
      </c>
      <c r="V42" s="2">
        <v>7.28</v>
      </c>
      <c r="X42" s="2">
        <f t="shared" si="6"/>
        <v>6.1228928571428565</v>
      </c>
      <c r="Y42" s="2">
        <f t="shared" si="7"/>
        <v>9.0023214285714275</v>
      </c>
      <c r="Z42" s="2">
        <f t="shared" si="8"/>
        <v>12.097499999999998</v>
      </c>
      <c r="AB42" s="2">
        <f t="shared" si="9"/>
        <v>1.4702725719052034</v>
      </c>
      <c r="AD42" s="2">
        <f t="shared" si="10"/>
        <v>1.9757817558227029</v>
      </c>
      <c r="AF42" s="2">
        <f t="shared" si="11"/>
        <v>1.3438200464165988</v>
      </c>
    </row>
    <row r="43" spans="1:32" x14ac:dyDescent="0.5">
      <c r="A43" s="2" t="s">
        <v>69</v>
      </c>
      <c r="B43" s="2">
        <v>840.89</v>
      </c>
      <c r="C43" s="2">
        <v>520.36</v>
      </c>
      <c r="D43" s="2">
        <v>841.64</v>
      </c>
      <c r="E43" s="2">
        <v>1015.73</v>
      </c>
      <c r="F43" s="2">
        <v>698.27</v>
      </c>
      <c r="G43" s="2">
        <v>242.74</v>
      </c>
      <c r="H43" s="2">
        <v>593.03</v>
      </c>
      <c r="I43" s="2">
        <v>1261.07</v>
      </c>
      <c r="J43" s="2">
        <v>936.13</v>
      </c>
      <c r="K43" s="2">
        <v>850.77</v>
      </c>
      <c r="L43" s="2">
        <v>861.61</v>
      </c>
      <c r="M43" s="2">
        <v>1324.33</v>
      </c>
      <c r="N43" s="2">
        <v>1366.24</v>
      </c>
      <c r="O43" s="2">
        <v>1239.48</v>
      </c>
      <c r="P43" s="2">
        <v>1097.98</v>
      </c>
      <c r="Q43" s="2">
        <v>1743.46</v>
      </c>
      <c r="R43" s="2">
        <v>1311.08</v>
      </c>
      <c r="S43" s="2">
        <v>1402.99</v>
      </c>
      <c r="T43" s="2">
        <v>1603.98</v>
      </c>
      <c r="U43" s="2">
        <v>1385.4</v>
      </c>
      <c r="V43" s="2">
        <v>564.27</v>
      </c>
      <c r="X43" s="2">
        <f t="shared" si="6"/>
        <v>678.95142857142855</v>
      </c>
      <c r="Y43" s="2">
        <f t="shared" si="7"/>
        <v>1119.9471428571428</v>
      </c>
      <c r="Z43" s="2">
        <f t="shared" si="8"/>
        <v>1301.3085714285714</v>
      </c>
      <c r="AB43" s="2">
        <f t="shared" si="9"/>
        <v>1.649524687227784</v>
      </c>
      <c r="AD43" s="2">
        <f t="shared" si="10"/>
        <v>1.916644573775528</v>
      </c>
      <c r="AF43" s="2">
        <f t="shared" si="11"/>
        <v>1.1619374893968211</v>
      </c>
    </row>
    <row r="44" spans="1:32" x14ac:dyDescent="0.5">
      <c r="A44" s="2" t="s">
        <v>70</v>
      </c>
      <c r="B44" s="2">
        <v>9.6999999999999993</v>
      </c>
      <c r="C44" s="2">
        <v>19.91</v>
      </c>
      <c r="D44" s="2">
        <v>3.38</v>
      </c>
      <c r="E44" s="2">
        <v>2.75</v>
      </c>
      <c r="F44" s="2">
        <v>3.15</v>
      </c>
      <c r="G44" s="2">
        <v>3.81</v>
      </c>
      <c r="H44" s="2">
        <v>1.92</v>
      </c>
      <c r="I44" s="2">
        <v>9.2100000000000009</v>
      </c>
      <c r="J44" s="2">
        <v>5.53</v>
      </c>
      <c r="K44" s="2">
        <v>5.32</v>
      </c>
      <c r="L44" s="2">
        <v>6.02</v>
      </c>
      <c r="M44" s="2">
        <v>12.84</v>
      </c>
      <c r="N44" s="2">
        <v>4.47</v>
      </c>
      <c r="O44" s="2">
        <v>30.32</v>
      </c>
      <c r="P44" s="2">
        <v>30.32</v>
      </c>
      <c r="Q44" s="2">
        <v>25.05</v>
      </c>
      <c r="R44" s="2">
        <v>9.5299999999999994</v>
      </c>
      <c r="S44" s="2">
        <v>4.24</v>
      </c>
      <c r="T44" s="2">
        <v>5.7</v>
      </c>
      <c r="U44" s="2">
        <v>4.93</v>
      </c>
      <c r="V44" s="2">
        <v>5.31</v>
      </c>
      <c r="X44" s="2">
        <f t="shared" si="6"/>
        <v>6.3742857142857146</v>
      </c>
      <c r="Y44" s="2">
        <f t="shared" si="7"/>
        <v>10.530000000000001</v>
      </c>
      <c r="Z44" s="2">
        <f t="shared" si="8"/>
        <v>12.154285714285717</v>
      </c>
      <c r="AB44" s="2">
        <f t="shared" si="9"/>
        <v>1.6519497982967279</v>
      </c>
      <c r="AD44" s="2">
        <f t="shared" si="10"/>
        <v>1.9067682653518605</v>
      </c>
      <c r="AF44" s="2">
        <f t="shared" si="11"/>
        <v>1.1542531542531544</v>
      </c>
    </row>
    <row r="45" spans="1:32" x14ac:dyDescent="0.5">
      <c r="A45" s="2" t="s">
        <v>71</v>
      </c>
      <c r="B45" s="2">
        <v>97.32</v>
      </c>
      <c r="C45" s="2">
        <v>138.51</v>
      </c>
      <c r="D45" s="2">
        <v>91.19</v>
      </c>
      <c r="E45" s="2">
        <v>34.28</v>
      </c>
      <c r="F45" s="2">
        <v>51.72</v>
      </c>
      <c r="G45" s="2">
        <v>52.29</v>
      </c>
      <c r="H45" s="2">
        <v>72.52</v>
      </c>
      <c r="I45" s="2">
        <v>159.58000000000001</v>
      </c>
      <c r="J45" s="2">
        <v>152.69999999999999</v>
      </c>
      <c r="K45" s="2">
        <v>133.97999999999999</v>
      </c>
      <c r="L45" s="2">
        <v>173.02</v>
      </c>
      <c r="M45" s="2">
        <v>139.57</v>
      </c>
      <c r="N45" s="2">
        <v>130.28</v>
      </c>
      <c r="O45" s="2">
        <v>144.69999999999999</v>
      </c>
      <c r="P45" s="2">
        <v>248.46</v>
      </c>
      <c r="Q45" s="2">
        <v>189.72</v>
      </c>
      <c r="R45" s="2">
        <v>124.22</v>
      </c>
      <c r="S45" s="2">
        <v>150.58000000000001</v>
      </c>
      <c r="T45" s="2">
        <v>112.34</v>
      </c>
      <c r="U45" s="2">
        <v>139.44999999999999</v>
      </c>
      <c r="V45" s="2">
        <v>54.58</v>
      </c>
      <c r="X45" s="2">
        <f t="shared" si="6"/>
        <v>76.832857142857151</v>
      </c>
      <c r="Y45" s="2">
        <f t="shared" si="7"/>
        <v>147.69</v>
      </c>
      <c r="Z45" s="2">
        <f t="shared" si="8"/>
        <v>145.62142857142857</v>
      </c>
      <c r="AB45" s="2">
        <f t="shared" si="9"/>
        <v>1.9222244947288174</v>
      </c>
      <c r="AD45" s="2">
        <f t="shared" si="10"/>
        <v>1.8953014893181859</v>
      </c>
      <c r="AF45" s="2">
        <f t="shared" si="11"/>
        <v>0.98599382877262221</v>
      </c>
    </row>
    <row r="46" spans="1:32" x14ac:dyDescent="0.5">
      <c r="A46" s="2" t="s">
        <v>72</v>
      </c>
      <c r="B46" s="2">
        <v>6.9</v>
      </c>
      <c r="C46" s="2">
        <v>12.08</v>
      </c>
      <c r="D46" s="2">
        <v>4.71</v>
      </c>
      <c r="E46" s="2">
        <v>20.967500000000001</v>
      </c>
      <c r="F46" s="2">
        <v>3.85</v>
      </c>
      <c r="G46" s="2">
        <v>3.2275</v>
      </c>
      <c r="H46" s="2">
        <v>3.57</v>
      </c>
      <c r="I46" s="2">
        <v>10.6</v>
      </c>
      <c r="J46" s="2">
        <v>19.88</v>
      </c>
      <c r="K46" s="2">
        <v>11.57</v>
      </c>
      <c r="L46" s="2">
        <v>12.75</v>
      </c>
      <c r="M46" s="2">
        <v>13.46</v>
      </c>
      <c r="N46" s="2">
        <v>13.86</v>
      </c>
      <c r="O46" s="2">
        <v>10.47</v>
      </c>
      <c r="P46" s="2">
        <v>19.97</v>
      </c>
      <c r="Q46" s="2">
        <v>13.6</v>
      </c>
      <c r="R46" s="2">
        <v>9.64</v>
      </c>
      <c r="S46" s="2">
        <v>20.967500000000001</v>
      </c>
      <c r="T46" s="2">
        <v>15.68</v>
      </c>
      <c r="U46" s="2">
        <v>11.79</v>
      </c>
      <c r="V46" s="2">
        <v>13.04</v>
      </c>
      <c r="X46" s="2">
        <f t="shared" si="6"/>
        <v>7.9007142857142858</v>
      </c>
      <c r="Y46" s="2">
        <f t="shared" si="7"/>
        <v>13.227142857142855</v>
      </c>
      <c r="Z46" s="2">
        <f t="shared" si="8"/>
        <v>14.955357142857142</v>
      </c>
      <c r="AB46" s="2">
        <f t="shared" si="9"/>
        <v>1.6741705089955699</v>
      </c>
      <c r="AD46" s="2">
        <f t="shared" si="10"/>
        <v>1.8929120332700478</v>
      </c>
      <c r="AF46" s="2">
        <f t="shared" si="11"/>
        <v>1.130656658386435</v>
      </c>
    </row>
    <row r="47" spans="1:32" x14ac:dyDescent="0.5">
      <c r="A47" s="2" t="s">
        <v>73</v>
      </c>
      <c r="B47" s="2">
        <v>135.77000000000001</v>
      </c>
      <c r="C47" s="2">
        <v>106.11</v>
      </c>
      <c r="D47" s="2">
        <v>58.53</v>
      </c>
      <c r="E47" s="2">
        <v>111.45</v>
      </c>
      <c r="F47" s="2">
        <v>88.22</v>
      </c>
      <c r="G47" s="2">
        <v>56.65</v>
      </c>
      <c r="H47" s="2">
        <v>91.93</v>
      </c>
      <c r="I47" s="2">
        <v>154.61000000000001</v>
      </c>
      <c r="J47" s="2">
        <v>187.19</v>
      </c>
      <c r="K47" s="2">
        <v>137.01</v>
      </c>
      <c r="L47" s="2">
        <v>332.31625000000003</v>
      </c>
      <c r="M47" s="2">
        <v>217.18</v>
      </c>
      <c r="N47" s="2">
        <v>74.25</v>
      </c>
      <c r="O47" s="2">
        <v>167.17</v>
      </c>
      <c r="P47" s="2">
        <v>225.55</v>
      </c>
      <c r="Q47" s="2">
        <v>174.11</v>
      </c>
      <c r="R47" s="2">
        <v>201.52</v>
      </c>
      <c r="S47" s="2">
        <v>155.4</v>
      </c>
      <c r="T47" s="2">
        <v>194.83</v>
      </c>
      <c r="U47" s="2">
        <v>166.84</v>
      </c>
      <c r="V47" s="2">
        <v>107.28</v>
      </c>
      <c r="X47" s="2">
        <f t="shared" si="6"/>
        <v>92.665714285714259</v>
      </c>
      <c r="Y47" s="2">
        <f t="shared" si="7"/>
        <v>181.3894642857143</v>
      </c>
      <c r="Z47" s="2">
        <f t="shared" si="8"/>
        <v>175.07571428571427</v>
      </c>
      <c r="AB47" s="2">
        <f t="shared" si="9"/>
        <v>1.9574603798600199</v>
      </c>
      <c r="AD47" s="2">
        <f t="shared" si="10"/>
        <v>1.8893256868004813</v>
      </c>
      <c r="AF47" s="2">
        <f t="shared" si="11"/>
        <v>0.9651923003088263</v>
      </c>
    </row>
    <row r="48" spans="1:32" x14ac:dyDescent="0.5">
      <c r="A48" s="2" t="s">
        <v>74</v>
      </c>
      <c r="B48" s="2">
        <v>1266.6099999999999</v>
      </c>
      <c r="C48" s="2">
        <v>382.84</v>
      </c>
      <c r="D48" s="2">
        <v>304.20999999999998</v>
      </c>
      <c r="E48" s="2">
        <v>368.69</v>
      </c>
      <c r="F48" s="2">
        <v>594.39</v>
      </c>
      <c r="G48" s="2">
        <v>462.85</v>
      </c>
      <c r="H48" s="2">
        <v>673.79</v>
      </c>
      <c r="I48" s="2">
        <v>898.27</v>
      </c>
      <c r="J48" s="2">
        <v>797.86</v>
      </c>
      <c r="K48" s="2">
        <v>295.60000000000002</v>
      </c>
      <c r="L48" s="2">
        <v>719.67</v>
      </c>
      <c r="M48" s="2">
        <v>870.25</v>
      </c>
      <c r="N48" s="2">
        <v>938.98</v>
      </c>
      <c r="O48" s="2">
        <v>914.33</v>
      </c>
      <c r="P48" s="2">
        <v>1462.26</v>
      </c>
      <c r="Q48" s="2">
        <v>1396.61</v>
      </c>
      <c r="R48" s="2">
        <v>1078.99</v>
      </c>
      <c r="S48" s="2">
        <v>1049.1500000000001</v>
      </c>
      <c r="T48" s="2">
        <v>1513.3</v>
      </c>
      <c r="U48" s="2">
        <v>310.23</v>
      </c>
      <c r="V48" s="2">
        <v>811.38</v>
      </c>
      <c r="X48" s="2">
        <f t="shared" si="6"/>
        <v>579.0542857142857</v>
      </c>
      <c r="Y48" s="2">
        <f t="shared" si="7"/>
        <v>776.4228571428572</v>
      </c>
      <c r="Z48" s="2">
        <f t="shared" si="8"/>
        <v>1088.8457142857144</v>
      </c>
      <c r="AB48" s="2">
        <f t="shared" si="9"/>
        <v>1.340846404728893</v>
      </c>
      <c r="AD48" s="2">
        <f t="shared" si="10"/>
        <v>1.8803862455530942</v>
      </c>
      <c r="AF48" s="2">
        <f t="shared" si="11"/>
        <v>1.4023875060718018</v>
      </c>
    </row>
    <row r="49" spans="1:32" x14ac:dyDescent="0.5">
      <c r="A49" s="2" t="s">
        <v>75</v>
      </c>
      <c r="B49" s="2">
        <v>405.34</v>
      </c>
      <c r="C49" s="2">
        <v>301.77999999999997</v>
      </c>
      <c r="D49" s="2">
        <v>251.92</v>
      </c>
      <c r="E49" s="2">
        <v>925.56</v>
      </c>
      <c r="F49" s="2">
        <v>252.16</v>
      </c>
      <c r="G49" s="2">
        <v>178.52</v>
      </c>
      <c r="H49" s="2">
        <v>147.44999999999999</v>
      </c>
      <c r="I49" s="2">
        <v>923.35</v>
      </c>
      <c r="J49" s="2">
        <v>1034.79</v>
      </c>
      <c r="K49" s="2">
        <v>408.58</v>
      </c>
      <c r="L49" s="2">
        <v>354.96</v>
      </c>
      <c r="M49" s="2">
        <v>965.34</v>
      </c>
      <c r="N49" s="2">
        <v>516.01</v>
      </c>
      <c r="O49" s="2">
        <v>679.23</v>
      </c>
      <c r="P49" s="2">
        <v>1054.1500000000001</v>
      </c>
      <c r="Q49" s="2">
        <v>918.36</v>
      </c>
      <c r="R49" s="2">
        <v>122.89</v>
      </c>
      <c r="S49" s="2">
        <v>794.97</v>
      </c>
      <c r="T49" s="2">
        <v>916.45</v>
      </c>
      <c r="U49" s="2">
        <v>398.42</v>
      </c>
      <c r="V49" s="2">
        <v>189.68</v>
      </c>
      <c r="X49" s="2">
        <f t="shared" si="6"/>
        <v>351.81857142857137</v>
      </c>
      <c r="Y49" s="2">
        <f t="shared" si="7"/>
        <v>697.46571428571428</v>
      </c>
      <c r="Z49" s="2">
        <f t="shared" si="8"/>
        <v>627.84571428571428</v>
      </c>
      <c r="AB49" s="2">
        <f t="shared" si="9"/>
        <v>1.9824584911866103</v>
      </c>
      <c r="AD49" s="2">
        <f t="shared" si="10"/>
        <v>1.7845724054200016</v>
      </c>
      <c r="AF49" s="2">
        <f t="shared" si="11"/>
        <v>0.90018147333407073</v>
      </c>
    </row>
    <row r="50" spans="1:32" x14ac:dyDescent="0.5">
      <c r="A50" s="2" t="s">
        <v>76</v>
      </c>
      <c r="B50" s="2">
        <v>31.58</v>
      </c>
      <c r="C50" s="2">
        <v>20.72</v>
      </c>
      <c r="D50" s="2">
        <v>29.8</v>
      </c>
      <c r="E50" s="2">
        <v>182.09</v>
      </c>
      <c r="F50" s="2">
        <v>22.3</v>
      </c>
      <c r="G50" s="2">
        <v>24.63</v>
      </c>
      <c r="H50" s="2">
        <v>22.56</v>
      </c>
      <c r="I50" s="2">
        <v>57.18</v>
      </c>
      <c r="J50" s="2">
        <v>84.1</v>
      </c>
      <c r="K50" s="2">
        <v>110.87</v>
      </c>
      <c r="L50" s="2">
        <v>52.44</v>
      </c>
      <c r="M50" s="2">
        <v>175.23</v>
      </c>
      <c r="N50" s="2">
        <v>82.96</v>
      </c>
      <c r="O50" s="2">
        <v>96.95</v>
      </c>
      <c r="P50" s="2">
        <v>138.55000000000001</v>
      </c>
      <c r="Q50" s="2">
        <v>69.84</v>
      </c>
      <c r="R50" s="2">
        <v>82.13</v>
      </c>
      <c r="S50" s="2">
        <v>90.68</v>
      </c>
      <c r="T50" s="2">
        <v>95.96</v>
      </c>
      <c r="U50" s="2">
        <v>58.6</v>
      </c>
      <c r="V50" s="2">
        <v>45.67</v>
      </c>
      <c r="X50" s="2">
        <f t="shared" si="6"/>
        <v>47.668571428571433</v>
      </c>
      <c r="Y50" s="2">
        <f t="shared" si="7"/>
        <v>94.247142857142876</v>
      </c>
      <c r="Z50" s="2">
        <f t="shared" si="8"/>
        <v>83.061428571428564</v>
      </c>
      <c r="AB50" s="2">
        <f t="shared" si="9"/>
        <v>1.9771337808678977</v>
      </c>
      <c r="AD50" s="2">
        <f t="shared" si="10"/>
        <v>1.7424778230640132</v>
      </c>
      <c r="AF50" s="2">
        <f t="shared" si="11"/>
        <v>0.88131508344322651</v>
      </c>
    </row>
    <row r="51" spans="1:32" x14ac:dyDescent="0.5">
      <c r="A51" s="2" t="s">
        <v>77</v>
      </c>
      <c r="B51" s="2">
        <v>1225.8900000000001</v>
      </c>
      <c r="C51" s="2">
        <v>791.14</v>
      </c>
      <c r="D51" s="2">
        <v>619.12</v>
      </c>
      <c r="E51" s="2">
        <v>894.49</v>
      </c>
      <c r="F51" s="2">
        <v>291.08</v>
      </c>
      <c r="G51" s="2">
        <v>275.07</v>
      </c>
      <c r="H51" s="2">
        <v>428.08</v>
      </c>
      <c r="I51" s="2">
        <v>1401.84</v>
      </c>
      <c r="J51" s="2">
        <v>1456.27</v>
      </c>
      <c r="K51" s="2">
        <v>1204.67</v>
      </c>
      <c r="L51" s="2">
        <v>2080.48</v>
      </c>
      <c r="M51" s="2">
        <v>2028.05</v>
      </c>
      <c r="N51" s="2">
        <v>1253.74</v>
      </c>
      <c r="O51" s="2">
        <v>1564</v>
      </c>
      <c r="P51" s="2">
        <v>1897.76</v>
      </c>
      <c r="Q51" s="2">
        <v>1638.63</v>
      </c>
      <c r="R51" s="2">
        <v>1224.51</v>
      </c>
      <c r="S51" s="2">
        <v>956.1</v>
      </c>
      <c r="T51" s="2">
        <v>796.7</v>
      </c>
      <c r="U51" s="2">
        <v>751.39</v>
      </c>
      <c r="V51" s="2">
        <v>607.61</v>
      </c>
      <c r="X51" s="2">
        <f t="shared" si="6"/>
        <v>646.41</v>
      </c>
      <c r="Y51" s="2">
        <f t="shared" si="7"/>
        <v>1569.8642857142859</v>
      </c>
      <c r="Z51" s="2">
        <f t="shared" si="8"/>
        <v>1124.6714285714286</v>
      </c>
      <c r="AB51" s="2">
        <f t="shared" si="9"/>
        <v>2.4285891086373756</v>
      </c>
      <c r="AD51" s="2">
        <f t="shared" si="10"/>
        <v>1.7398731897269977</v>
      </c>
      <c r="AF51" s="2">
        <f t="shared" si="11"/>
        <v>0.71641315673329353</v>
      </c>
    </row>
    <row r="52" spans="1:32" x14ac:dyDescent="0.5">
      <c r="A52" s="2" t="s">
        <v>78</v>
      </c>
      <c r="B52" s="2">
        <v>219.97</v>
      </c>
      <c r="C52" s="2">
        <v>512.97</v>
      </c>
      <c r="D52" s="2">
        <v>332.45</v>
      </c>
      <c r="E52" s="2">
        <v>43.32</v>
      </c>
      <c r="F52" s="2">
        <v>212.97</v>
      </c>
      <c r="G52" s="2">
        <v>141.37</v>
      </c>
      <c r="H52" s="2">
        <v>221.05</v>
      </c>
      <c r="I52" s="2">
        <v>317.02</v>
      </c>
      <c r="J52" s="2">
        <v>357.76</v>
      </c>
      <c r="K52" s="2">
        <v>503.61</v>
      </c>
      <c r="L52" s="2">
        <v>440.96</v>
      </c>
      <c r="M52" s="2">
        <v>373.95</v>
      </c>
      <c r="N52" s="2">
        <v>402.76</v>
      </c>
      <c r="O52" s="2">
        <v>321.52999999999997</v>
      </c>
      <c r="P52" s="2">
        <v>661.67</v>
      </c>
      <c r="Q52" s="2">
        <v>557.54</v>
      </c>
      <c r="R52" s="2">
        <v>348.07</v>
      </c>
      <c r="S52" s="2">
        <v>358.14</v>
      </c>
      <c r="T52" s="2">
        <v>361.39</v>
      </c>
      <c r="U52" s="2">
        <v>314.72000000000003</v>
      </c>
      <c r="V52" s="2">
        <v>254.41</v>
      </c>
      <c r="X52" s="2">
        <f t="shared" si="6"/>
        <v>240.58571428571432</v>
      </c>
      <c r="Y52" s="2">
        <f t="shared" si="7"/>
        <v>388.22714285714289</v>
      </c>
      <c r="Z52" s="2">
        <f t="shared" si="8"/>
        <v>407.99142857142851</v>
      </c>
      <c r="AB52" s="2">
        <f t="shared" si="9"/>
        <v>1.6136749599192446</v>
      </c>
      <c r="AD52" s="2">
        <f t="shared" si="10"/>
        <v>1.6958256635591706</v>
      </c>
      <c r="AF52" s="2">
        <f t="shared" si="11"/>
        <v>1.0509090775282508</v>
      </c>
    </row>
    <row r="53" spans="1:32" x14ac:dyDescent="0.5">
      <c r="A53" s="2" t="s">
        <v>79</v>
      </c>
      <c r="B53" s="2">
        <v>52.82</v>
      </c>
      <c r="C53" s="2">
        <v>61.49</v>
      </c>
      <c r="D53" s="2">
        <v>0.65</v>
      </c>
      <c r="E53" s="2">
        <v>0.65</v>
      </c>
      <c r="F53" s="2">
        <v>0.65</v>
      </c>
      <c r="G53" s="2">
        <v>6.56</v>
      </c>
      <c r="H53" s="2">
        <v>0.65</v>
      </c>
      <c r="I53" s="2">
        <v>8.9499999999999993</v>
      </c>
      <c r="J53" s="2">
        <v>0.65</v>
      </c>
      <c r="K53" s="2">
        <v>12.12</v>
      </c>
      <c r="L53" s="2">
        <v>41.91</v>
      </c>
      <c r="M53" s="2">
        <v>16.47</v>
      </c>
      <c r="N53" s="2">
        <v>22.73</v>
      </c>
      <c r="O53" s="2">
        <v>102.92</v>
      </c>
      <c r="P53" s="2">
        <v>102.92</v>
      </c>
      <c r="Q53" s="2">
        <v>42.52</v>
      </c>
      <c r="R53" s="2">
        <v>14.46</v>
      </c>
      <c r="S53" s="2">
        <v>6.98</v>
      </c>
      <c r="T53" s="2">
        <v>16.37</v>
      </c>
      <c r="U53" s="2">
        <v>13.68</v>
      </c>
      <c r="V53" s="2">
        <v>6.5</v>
      </c>
      <c r="X53" s="2">
        <f t="shared" si="6"/>
        <v>17.638571428571431</v>
      </c>
      <c r="Y53" s="2">
        <f t="shared" si="7"/>
        <v>29.392857142857142</v>
      </c>
      <c r="Z53" s="2">
        <f t="shared" si="8"/>
        <v>29.061428571428571</v>
      </c>
      <c r="AB53" s="2">
        <f t="shared" si="9"/>
        <v>1.6663966955535754</v>
      </c>
      <c r="AD53" s="2">
        <f t="shared" si="10"/>
        <v>1.6476067060824489</v>
      </c>
      <c r="AF53" s="2">
        <f t="shared" si="11"/>
        <v>0.98872417982989069</v>
      </c>
    </row>
    <row r="54" spans="1:32" x14ac:dyDescent="0.5">
      <c r="A54" s="2" t="s">
        <v>80</v>
      </c>
      <c r="B54" s="2">
        <v>266.63</v>
      </c>
      <c r="C54" s="2">
        <v>102.05</v>
      </c>
      <c r="D54" s="2">
        <v>185.57</v>
      </c>
      <c r="E54" s="2">
        <v>525.61</v>
      </c>
      <c r="F54" s="2">
        <v>11.93</v>
      </c>
      <c r="G54" s="2">
        <v>116.33</v>
      </c>
      <c r="H54" s="2">
        <v>27.78</v>
      </c>
      <c r="I54" s="2">
        <v>388.53</v>
      </c>
      <c r="J54" s="2">
        <v>496.41</v>
      </c>
      <c r="K54" s="2">
        <v>256.99</v>
      </c>
      <c r="L54" s="2">
        <v>105.76</v>
      </c>
      <c r="M54" s="2">
        <v>303.67</v>
      </c>
      <c r="N54" s="2">
        <v>395.85</v>
      </c>
      <c r="O54" s="2">
        <v>670.1</v>
      </c>
      <c r="P54" s="2">
        <v>443.24</v>
      </c>
      <c r="Q54" s="2">
        <v>686.55</v>
      </c>
      <c r="R54" s="2">
        <v>209.18</v>
      </c>
      <c r="S54" s="2">
        <v>137.81</v>
      </c>
      <c r="T54" s="2">
        <v>134.47</v>
      </c>
      <c r="U54" s="2">
        <v>337.43</v>
      </c>
      <c r="V54" s="2">
        <v>46.8</v>
      </c>
      <c r="X54" s="2">
        <f t="shared" si="6"/>
        <v>176.55714285714288</v>
      </c>
      <c r="Y54" s="2">
        <f t="shared" si="7"/>
        <v>373.90142857142854</v>
      </c>
      <c r="Z54" s="2">
        <f t="shared" si="8"/>
        <v>285.06857142857143</v>
      </c>
      <c r="AB54" s="2">
        <f t="shared" si="9"/>
        <v>2.1177360627882509</v>
      </c>
      <c r="AD54" s="2">
        <f t="shared" si="10"/>
        <v>1.6145966502144184</v>
      </c>
      <c r="AF54" s="2">
        <f t="shared" si="11"/>
        <v>0.76241637406344687</v>
      </c>
    </row>
    <row r="55" spans="1:32" x14ac:dyDescent="0.5">
      <c r="A55" s="2" t="s">
        <v>81</v>
      </c>
      <c r="B55" s="2">
        <v>789.69</v>
      </c>
      <c r="C55" s="2">
        <v>721.59</v>
      </c>
      <c r="D55" s="2">
        <v>484.52</v>
      </c>
      <c r="E55" s="2">
        <v>369.34</v>
      </c>
      <c r="F55" s="2">
        <v>1926.89</v>
      </c>
      <c r="G55" s="2">
        <v>585.21</v>
      </c>
      <c r="H55" s="2">
        <v>767.16</v>
      </c>
      <c r="I55" s="2">
        <v>365.92</v>
      </c>
      <c r="J55" s="2">
        <v>691.19</v>
      </c>
      <c r="K55" s="2">
        <v>466.82</v>
      </c>
      <c r="L55" s="2">
        <v>976.18</v>
      </c>
      <c r="M55" s="2">
        <v>696.67</v>
      </c>
      <c r="N55" s="2">
        <v>1117.8900000000001</v>
      </c>
      <c r="O55" s="2">
        <v>3105.5625</v>
      </c>
      <c r="P55" s="2">
        <v>1676.09</v>
      </c>
      <c r="Q55" s="2">
        <v>1401.65</v>
      </c>
      <c r="R55" s="2">
        <v>469.46</v>
      </c>
      <c r="S55" s="2">
        <v>1676.07</v>
      </c>
      <c r="T55" s="2">
        <v>1511.44</v>
      </c>
      <c r="U55" s="2">
        <v>528.21</v>
      </c>
      <c r="V55" s="2">
        <v>1748.27</v>
      </c>
      <c r="X55" s="2">
        <f t="shared" si="6"/>
        <v>806.34285714285727</v>
      </c>
      <c r="Y55" s="2">
        <f t="shared" si="7"/>
        <v>1060.0332142857144</v>
      </c>
      <c r="Z55" s="2">
        <f t="shared" si="8"/>
        <v>1287.312857142857</v>
      </c>
      <c r="AB55" s="2">
        <f t="shared" si="9"/>
        <v>1.3146184714052866</v>
      </c>
      <c r="AD55" s="2">
        <f t="shared" si="10"/>
        <v>1.5964832400255116</v>
      </c>
      <c r="AF55" s="2">
        <f t="shared" si="11"/>
        <v>1.2144080391012004</v>
      </c>
    </row>
    <row r="56" spans="1:32" x14ac:dyDescent="0.5">
      <c r="A56" s="2" t="s">
        <v>82</v>
      </c>
      <c r="B56" s="2">
        <v>465.55</v>
      </c>
      <c r="C56" s="2">
        <v>574.88</v>
      </c>
      <c r="D56" s="2">
        <v>397.47</v>
      </c>
      <c r="E56" s="2">
        <v>747.42</v>
      </c>
      <c r="F56" s="2">
        <v>433.07</v>
      </c>
      <c r="G56" s="2">
        <v>341.89</v>
      </c>
      <c r="H56" s="2">
        <v>227.83</v>
      </c>
      <c r="I56" s="2">
        <v>995.92</v>
      </c>
      <c r="J56" s="2">
        <v>534.16999999999996</v>
      </c>
      <c r="K56" s="2">
        <v>333.97</v>
      </c>
      <c r="L56" s="2">
        <v>792.33</v>
      </c>
      <c r="M56" s="2">
        <v>498.47</v>
      </c>
      <c r="N56" s="2">
        <v>802.98</v>
      </c>
      <c r="O56" s="2">
        <v>1396.38</v>
      </c>
      <c r="P56" s="2">
        <v>1252.58</v>
      </c>
      <c r="Q56" s="2">
        <v>1396.38</v>
      </c>
      <c r="R56" s="2">
        <v>383.86</v>
      </c>
      <c r="S56" s="2">
        <v>640.91</v>
      </c>
      <c r="T56" s="2">
        <v>426.62</v>
      </c>
      <c r="U56" s="2">
        <v>380.01</v>
      </c>
      <c r="V56" s="2">
        <v>517.77</v>
      </c>
      <c r="X56" s="2">
        <f t="shared" si="6"/>
        <v>455.44428571428574</v>
      </c>
      <c r="Y56" s="2">
        <f t="shared" si="7"/>
        <v>764.88857142857137</v>
      </c>
      <c r="Z56" s="2">
        <f t="shared" si="8"/>
        <v>714.01857142857159</v>
      </c>
      <c r="AB56" s="2">
        <f t="shared" si="9"/>
        <v>1.67943389657195</v>
      </c>
      <c r="AD56" s="2">
        <f t="shared" si="10"/>
        <v>1.5677407617679442</v>
      </c>
      <c r="AF56" s="2">
        <f t="shared" si="11"/>
        <v>0.93349358076433198</v>
      </c>
    </row>
    <row r="57" spans="1:32" x14ac:dyDescent="0.5">
      <c r="A57" s="2" t="s">
        <v>83</v>
      </c>
      <c r="B57" s="2">
        <v>0.38</v>
      </c>
      <c r="C57" s="2">
        <v>29.57</v>
      </c>
      <c r="D57" s="2">
        <v>3.7999999999999999E-2</v>
      </c>
      <c r="E57" s="2">
        <v>12.52</v>
      </c>
      <c r="F57" s="2">
        <v>3.7999999999999999E-2</v>
      </c>
      <c r="G57" s="2">
        <v>3.7999999999999999E-2</v>
      </c>
      <c r="H57" s="2">
        <v>60.396250000000002</v>
      </c>
      <c r="I57" s="2">
        <v>18.97</v>
      </c>
      <c r="J57" s="2">
        <v>13.83</v>
      </c>
      <c r="K57" s="2">
        <v>21.65</v>
      </c>
      <c r="L57" s="2">
        <v>18.04</v>
      </c>
      <c r="M57" s="2">
        <v>31.81</v>
      </c>
      <c r="N57" s="2">
        <v>17.21</v>
      </c>
      <c r="O57" s="2">
        <v>60.396250000000002</v>
      </c>
      <c r="P57" s="2">
        <v>33.61</v>
      </c>
      <c r="Q57" s="2">
        <v>14.4</v>
      </c>
      <c r="R57" s="2">
        <v>28.7</v>
      </c>
      <c r="S57" s="2">
        <v>19.64</v>
      </c>
      <c r="T57" s="2">
        <v>47.64</v>
      </c>
      <c r="U57" s="2">
        <v>14.38</v>
      </c>
      <c r="V57" s="2">
        <v>1.32</v>
      </c>
      <c r="X57" s="2">
        <f t="shared" si="6"/>
        <v>14.711464285714284</v>
      </c>
      <c r="Y57" s="2">
        <f t="shared" si="7"/>
        <v>25.986607142857142</v>
      </c>
      <c r="Z57" s="2">
        <f t="shared" si="8"/>
        <v>22.812857142857144</v>
      </c>
      <c r="AB57" s="2">
        <f t="shared" si="9"/>
        <v>1.7664188036055459</v>
      </c>
      <c r="AD57" s="2">
        <f t="shared" si="10"/>
        <v>1.5506856897317693</v>
      </c>
      <c r="AF57" s="2">
        <f t="shared" si="11"/>
        <v>0.87786978182442887</v>
      </c>
    </row>
    <row r="58" spans="1:32" x14ac:dyDescent="0.5">
      <c r="A58" s="2" t="s">
        <v>84</v>
      </c>
      <c r="B58" s="2">
        <v>1408.31</v>
      </c>
      <c r="C58" s="2">
        <v>714.86</v>
      </c>
      <c r="D58" s="2">
        <v>824.93</v>
      </c>
      <c r="E58" s="2">
        <v>177.31</v>
      </c>
      <c r="F58" s="2">
        <v>1491.23</v>
      </c>
      <c r="G58" s="2">
        <v>1137.6400000000001</v>
      </c>
      <c r="H58" s="2">
        <v>473.89</v>
      </c>
      <c r="I58" s="2">
        <v>1405.09</v>
      </c>
      <c r="J58" s="2">
        <v>1548.8</v>
      </c>
      <c r="K58" s="2">
        <v>1797.14</v>
      </c>
      <c r="L58" s="2">
        <v>962.31</v>
      </c>
      <c r="M58" s="2">
        <v>1512.37</v>
      </c>
      <c r="N58" s="2">
        <v>643.38</v>
      </c>
      <c r="O58" s="2">
        <v>1777.06</v>
      </c>
      <c r="P58" s="2">
        <v>1694.69</v>
      </c>
      <c r="Q58" s="2">
        <v>1071.8599999999999</v>
      </c>
      <c r="R58" s="2">
        <v>2161.59</v>
      </c>
      <c r="S58" s="2">
        <v>985.34</v>
      </c>
      <c r="T58" s="2">
        <v>1046.27</v>
      </c>
      <c r="U58" s="2">
        <v>1966.33</v>
      </c>
      <c r="V58" s="2">
        <v>723.33</v>
      </c>
      <c r="X58" s="2">
        <f t="shared" si="6"/>
        <v>889.73857142857139</v>
      </c>
      <c r="Y58" s="2">
        <f t="shared" si="7"/>
        <v>1378.0214285714285</v>
      </c>
      <c r="Z58" s="2">
        <f t="shared" si="8"/>
        <v>1378.4871428571428</v>
      </c>
      <c r="AB58" s="2">
        <f t="shared" si="9"/>
        <v>1.5487936263782138</v>
      </c>
      <c r="AD58" s="2">
        <f t="shared" si="10"/>
        <v>1.5493170546083359</v>
      </c>
      <c r="AF58" s="2">
        <f t="shared" si="11"/>
        <v>1.0003379586674477</v>
      </c>
    </row>
    <row r="59" spans="1:32" x14ac:dyDescent="0.5">
      <c r="A59" s="2" t="s">
        <v>85</v>
      </c>
      <c r="B59" s="2">
        <v>6732.8</v>
      </c>
      <c r="C59" s="2">
        <v>6996.98</v>
      </c>
      <c r="D59" s="2">
        <v>6406.75</v>
      </c>
      <c r="E59" s="2">
        <v>7167.43</v>
      </c>
      <c r="F59" s="2">
        <v>5920.13</v>
      </c>
      <c r="G59" s="2">
        <v>5579.12</v>
      </c>
      <c r="H59" s="2">
        <v>5367.58</v>
      </c>
      <c r="I59" s="2">
        <v>10017.83</v>
      </c>
      <c r="J59" s="2">
        <v>8844.2900000000009</v>
      </c>
      <c r="K59" s="2">
        <v>9522.16</v>
      </c>
      <c r="L59" s="2">
        <v>10043.86</v>
      </c>
      <c r="M59" s="2">
        <v>9597.52</v>
      </c>
      <c r="N59" s="2">
        <v>10523.41</v>
      </c>
      <c r="O59" s="2">
        <v>11766.54</v>
      </c>
      <c r="P59" s="2">
        <v>10583.53</v>
      </c>
      <c r="Q59" s="2">
        <v>10727.25</v>
      </c>
      <c r="R59" s="2">
        <v>9535.7800000000007</v>
      </c>
      <c r="S59" s="2">
        <v>9958.17</v>
      </c>
      <c r="T59" s="2">
        <v>9022.3799999999992</v>
      </c>
      <c r="U59" s="2">
        <v>9813.7000000000007</v>
      </c>
      <c r="V59" s="2">
        <v>7305.44</v>
      </c>
      <c r="X59" s="2">
        <f t="shared" si="6"/>
        <v>6310.1128571428571</v>
      </c>
      <c r="Y59" s="2">
        <f t="shared" si="7"/>
        <v>10045.087142857144</v>
      </c>
      <c r="Z59" s="2">
        <f t="shared" si="8"/>
        <v>9563.75</v>
      </c>
      <c r="AB59" s="2">
        <f t="shared" si="9"/>
        <v>1.5919029295151843</v>
      </c>
      <c r="AD59" s="2">
        <f t="shared" si="10"/>
        <v>1.5156226547000857</v>
      </c>
      <c r="AF59" s="2">
        <f t="shared" si="11"/>
        <v>0.95208233278499599</v>
      </c>
    </row>
    <row r="60" spans="1:32" x14ac:dyDescent="0.5">
      <c r="A60" s="2" t="s">
        <v>86</v>
      </c>
      <c r="B60" s="2">
        <v>2231.14</v>
      </c>
      <c r="C60" s="2">
        <v>1790.17</v>
      </c>
      <c r="D60" s="2">
        <v>1078.83</v>
      </c>
      <c r="E60" s="2">
        <v>956.62</v>
      </c>
      <c r="F60" s="2">
        <v>1845.39</v>
      </c>
      <c r="G60" s="2">
        <v>1154.6500000000001</v>
      </c>
      <c r="H60" s="2">
        <v>1160.44</v>
      </c>
      <c r="I60" s="2">
        <v>721.09</v>
      </c>
      <c r="J60" s="2">
        <v>1406.41</v>
      </c>
      <c r="K60" s="2">
        <v>2171.23</v>
      </c>
      <c r="L60" s="2">
        <v>2052.4</v>
      </c>
      <c r="M60" s="2">
        <v>3118.12</v>
      </c>
      <c r="N60" s="2">
        <v>2128.17</v>
      </c>
      <c r="O60" s="2">
        <v>2589.58</v>
      </c>
      <c r="P60" s="2">
        <v>3316.85</v>
      </c>
      <c r="Q60" s="2">
        <v>2155.9</v>
      </c>
      <c r="R60" s="2">
        <v>1277.9000000000001</v>
      </c>
      <c r="S60" s="2">
        <v>2738.48</v>
      </c>
      <c r="T60" s="2">
        <v>2068.5700000000002</v>
      </c>
      <c r="U60" s="2">
        <v>2253.34</v>
      </c>
      <c r="V60" s="2">
        <v>1439.03</v>
      </c>
      <c r="X60" s="2">
        <f t="shared" si="6"/>
        <v>1459.6057142857142</v>
      </c>
      <c r="Y60" s="2">
        <f t="shared" si="7"/>
        <v>2026.7142857142858</v>
      </c>
      <c r="Z60" s="2">
        <f t="shared" si="8"/>
        <v>2178.5814285714287</v>
      </c>
      <c r="AB60" s="2">
        <f t="shared" si="9"/>
        <v>1.3885354557590897</v>
      </c>
      <c r="AD60" s="2">
        <f t="shared" si="10"/>
        <v>1.4925821454717714</v>
      </c>
      <c r="AF60" s="2">
        <f t="shared" si="11"/>
        <v>1.0749326848523295</v>
      </c>
    </row>
    <row r="61" spans="1:32" x14ac:dyDescent="0.5">
      <c r="A61" s="2" t="s">
        <v>87</v>
      </c>
      <c r="B61" s="2">
        <v>2.3199999999999998</v>
      </c>
      <c r="C61" s="2">
        <v>12.76</v>
      </c>
      <c r="D61" s="2">
        <v>30.04</v>
      </c>
      <c r="E61" s="2">
        <v>0.183</v>
      </c>
      <c r="F61" s="2">
        <v>0.183</v>
      </c>
      <c r="G61" s="2">
        <v>4.1500000000000004</v>
      </c>
      <c r="H61" s="2">
        <v>7.93</v>
      </c>
      <c r="I61" s="2">
        <v>0.183</v>
      </c>
      <c r="J61" s="2">
        <v>5.53</v>
      </c>
      <c r="K61" s="2">
        <v>14.42</v>
      </c>
      <c r="L61" s="2">
        <v>6.64</v>
      </c>
      <c r="M61" s="2">
        <v>12.6</v>
      </c>
      <c r="N61" s="2">
        <v>4.67</v>
      </c>
      <c r="O61" s="2">
        <v>0.183</v>
      </c>
      <c r="P61" s="2">
        <v>30.810124999999999</v>
      </c>
      <c r="Q61" s="2">
        <v>30.810124999999999</v>
      </c>
      <c r="R61" s="2">
        <v>2.4900000000000002</v>
      </c>
      <c r="S61" s="2">
        <v>10.98</v>
      </c>
      <c r="T61" s="2">
        <v>1.83</v>
      </c>
      <c r="U61" s="2">
        <v>8.6300000000000008</v>
      </c>
      <c r="V61" s="2">
        <v>0.183</v>
      </c>
      <c r="X61" s="2">
        <f t="shared" si="6"/>
        <v>8.2237142857142853</v>
      </c>
      <c r="Y61" s="2">
        <f t="shared" si="7"/>
        <v>6.3179999999999996</v>
      </c>
      <c r="Z61" s="2">
        <f t="shared" si="8"/>
        <v>12.247607142857143</v>
      </c>
      <c r="AB61" s="2">
        <f t="shared" si="9"/>
        <v>0.76826599034152099</v>
      </c>
      <c r="AD61" s="2">
        <f t="shared" si="10"/>
        <v>1.4893035819754719</v>
      </c>
      <c r="AF61" s="2">
        <f t="shared" si="11"/>
        <v>1.9385259801926471</v>
      </c>
    </row>
    <row r="62" spans="1:32" x14ac:dyDescent="0.5">
      <c r="A62" s="2" t="s">
        <v>88</v>
      </c>
      <c r="B62" s="2">
        <v>108.22</v>
      </c>
      <c r="C62" s="2">
        <v>104.17</v>
      </c>
      <c r="D62" s="2">
        <v>81.06</v>
      </c>
      <c r="E62" s="2">
        <v>126.35</v>
      </c>
      <c r="F62" s="2">
        <v>155.66999999999999</v>
      </c>
      <c r="G62" s="2">
        <v>85.79</v>
      </c>
      <c r="H62" s="2">
        <v>115.37</v>
      </c>
      <c r="I62" s="2">
        <v>52.28</v>
      </c>
      <c r="J62" s="2">
        <v>205.02</v>
      </c>
      <c r="K62" s="2">
        <v>82.86</v>
      </c>
      <c r="L62" s="2">
        <v>143.26</v>
      </c>
      <c r="M62" s="2">
        <v>114.84</v>
      </c>
      <c r="N62" s="2">
        <v>147.99</v>
      </c>
      <c r="O62" s="2">
        <v>318.43</v>
      </c>
      <c r="P62" s="2">
        <v>122.14</v>
      </c>
      <c r="Q62" s="2">
        <v>200.28</v>
      </c>
      <c r="R62" s="2">
        <v>99.53</v>
      </c>
      <c r="S62" s="2">
        <v>224.3</v>
      </c>
      <c r="T62" s="2">
        <v>184.1</v>
      </c>
      <c r="U62" s="2">
        <v>104.48</v>
      </c>
      <c r="V62" s="2">
        <v>215.61</v>
      </c>
      <c r="X62" s="2">
        <f t="shared" si="6"/>
        <v>110.94714285714284</v>
      </c>
      <c r="Y62" s="2">
        <f t="shared" si="7"/>
        <v>152.09714285714287</v>
      </c>
      <c r="Z62" s="2">
        <f t="shared" si="8"/>
        <v>164.34857142857143</v>
      </c>
      <c r="AB62" s="2">
        <f t="shared" si="9"/>
        <v>1.3708973385009597</v>
      </c>
      <c r="AD62" s="2">
        <f t="shared" si="10"/>
        <v>1.4813231525951873</v>
      </c>
      <c r="AF62" s="2">
        <f t="shared" si="11"/>
        <v>1.0805500244204831</v>
      </c>
    </row>
    <row r="63" spans="1:32" x14ac:dyDescent="0.5">
      <c r="A63" s="2" t="s">
        <v>89</v>
      </c>
      <c r="B63" s="2">
        <v>407.35</v>
      </c>
      <c r="C63" s="2">
        <v>526.95000000000005</v>
      </c>
      <c r="D63" s="2">
        <v>771.25</v>
      </c>
      <c r="E63" s="2">
        <v>954.68</v>
      </c>
      <c r="F63" s="2">
        <v>1087.07</v>
      </c>
      <c r="G63" s="2">
        <v>615.91</v>
      </c>
      <c r="H63" s="2">
        <v>438.65</v>
      </c>
      <c r="I63" s="2">
        <v>919.93</v>
      </c>
      <c r="J63" s="2">
        <v>886.8</v>
      </c>
      <c r="K63" s="2">
        <v>937.17</v>
      </c>
      <c r="L63" s="2">
        <v>821.73</v>
      </c>
      <c r="M63" s="2">
        <v>1150.6600000000001</v>
      </c>
      <c r="N63" s="2">
        <v>684.38</v>
      </c>
      <c r="O63" s="2">
        <v>1261.28</v>
      </c>
      <c r="P63" s="2">
        <v>1278.4000000000001</v>
      </c>
      <c r="Q63" s="2">
        <v>772.15</v>
      </c>
      <c r="R63" s="2">
        <v>983.66</v>
      </c>
      <c r="S63" s="2">
        <v>1018.81</v>
      </c>
      <c r="T63" s="2">
        <v>920.68</v>
      </c>
      <c r="U63" s="2">
        <v>1069.3399999999999</v>
      </c>
      <c r="V63" s="2">
        <v>921.79</v>
      </c>
      <c r="X63" s="2">
        <f t="shared" si="6"/>
        <v>685.9799999999999</v>
      </c>
      <c r="Y63" s="2">
        <f t="shared" si="7"/>
        <v>951.7071428571428</v>
      </c>
      <c r="Z63" s="2">
        <f t="shared" si="8"/>
        <v>994.97571428571428</v>
      </c>
      <c r="AB63" s="2">
        <f t="shared" si="9"/>
        <v>1.387368644650198</v>
      </c>
      <c r="AD63" s="2">
        <f t="shared" si="10"/>
        <v>1.4504442028713875</v>
      </c>
      <c r="AF63" s="2">
        <f t="shared" si="11"/>
        <v>1.0454641658973725</v>
      </c>
    </row>
    <row r="64" spans="1:32" x14ac:dyDescent="0.5">
      <c r="A64" s="2" t="s">
        <v>90</v>
      </c>
      <c r="B64" s="2">
        <v>5135.46</v>
      </c>
      <c r="C64" s="2">
        <v>3087.51</v>
      </c>
      <c r="D64" s="2">
        <v>4257.9399999999996</v>
      </c>
      <c r="E64" s="2">
        <v>6366.68</v>
      </c>
      <c r="F64" s="2">
        <v>5296.63</v>
      </c>
      <c r="G64" s="2">
        <v>3558.75</v>
      </c>
      <c r="H64" s="2">
        <v>2390.91</v>
      </c>
      <c r="I64" s="2">
        <v>2408.9699999999998</v>
      </c>
      <c r="J64" s="2">
        <v>3734.33</v>
      </c>
      <c r="K64" s="2">
        <v>9225.1</v>
      </c>
      <c r="L64" s="2">
        <v>6204.83</v>
      </c>
      <c r="M64" s="2">
        <v>3767.76</v>
      </c>
      <c r="N64" s="2">
        <v>8984.49</v>
      </c>
      <c r="O64" s="2">
        <v>4341.1899999999996</v>
      </c>
      <c r="P64" s="2">
        <v>5361.53</v>
      </c>
      <c r="Q64" s="2">
        <v>4154.8500000000004</v>
      </c>
      <c r="R64" s="2">
        <v>6333.67</v>
      </c>
      <c r="S64" s="2">
        <v>7225.06</v>
      </c>
      <c r="T64" s="2">
        <v>8870.2900000000009</v>
      </c>
      <c r="U64" s="2">
        <v>7387.17</v>
      </c>
      <c r="V64" s="2">
        <v>4248.3999999999996</v>
      </c>
      <c r="X64" s="2">
        <f t="shared" si="6"/>
        <v>4299.1257142857148</v>
      </c>
      <c r="Y64" s="2">
        <f t="shared" si="7"/>
        <v>5523.8099999999995</v>
      </c>
      <c r="Z64" s="2">
        <f t="shared" si="8"/>
        <v>6225.8528571428569</v>
      </c>
      <c r="AB64" s="2">
        <f t="shared" si="9"/>
        <v>1.2848682190531759</v>
      </c>
      <c r="AD64" s="2">
        <f t="shared" si="10"/>
        <v>1.4481672021022212</v>
      </c>
      <c r="AF64" s="2">
        <f t="shared" si="11"/>
        <v>1.127093954560866</v>
      </c>
    </row>
    <row r="65" spans="1:32" x14ac:dyDescent="0.5">
      <c r="A65" s="2" t="s">
        <v>91</v>
      </c>
      <c r="B65" s="2">
        <v>0.251</v>
      </c>
      <c r="C65" s="2">
        <v>0.251</v>
      </c>
      <c r="D65" s="2">
        <v>316.48</v>
      </c>
      <c r="E65" s="2">
        <v>0.251</v>
      </c>
      <c r="F65" s="2">
        <v>0.251</v>
      </c>
      <c r="G65" s="2">
        <v>0.251</v>
      </c>
      <c r="H65" s="2">
        <v>0.251</v>
      </c>
      <c r="I65" s="2">
        <v>0.251</v>
      </c>
      <c r="J65" s="2">
        <v>2.5099999999999998</v>
      </c>
      <c r="K65" s="2">
        <v>221.45</v>
      </c>
      <c r="L65" s="2">
        <v>170.13</v>
      </c>
      <c r="M65" s="2">
        <v>72.989999999999995</v>
      </c>
      <c r="N65" s="2">
        <v>237.84</v>
      </c>
      <c r="O65" s="2">
        <v>563.49225000000001</v>
      </c>
      <c r="P65" s="2">
        <v>308.12</v>
      </c>
      <c r="Q65" s="2">
        <v>10.47</v>
      </c>
      <c r="R65" s="2">
        <v>17.989999999999998</v>
      </c>
      <c r="S65" s="2">
        <v>106.32</v>
      </c>
      <c r="T65" s="2">
        <v>14.7</v>
      </c>
      <c r="U65" s="2">
        <v>0.251</v>
      </c>
      <c r="V65" s="2">
        <v>0.251</v>
      </c>
      <c r="X65" s="2">
        <f t="shared" si="6"/>
        <v>45.426571428571421</v>
      </c>
      <c r="Y65" s="2">
        <f t="shared" si="7"/>
        <v>181.23760714285714</v>
      </c>
      <c r="Z65" s="2">
        <f t="shared" si="8"/>
        <v>65.44314285714286</v>
      </c>
      <c r="AB65" s="2">
        <f t="shared" si="9"/>
        <v>3.9896827218808384</v>
      </c>
      <c r="AD65" s="2">
        <f t="shared" si="10"/>
        <v>1.4406357512594896</v>
      </c>
      <c r="AF65" s="2">
        <f t="shared" si="11"/>
        <v>0.36109030509081114</v>
      </c>
    </row>
    <row r="66" spans="1:32" x14ac:dyDescent="0.5">
      <c r="A66" s="2" t="s">
        <v>92</v>
      </c>
      <c r="B66" s="2">
        <v>216.41</v>
      </c>
      <c r="C66" s="2">
        <v>310.58</v>
      </c>
      <c r="D66" s="2">
        <v>150.24</v>
      </c>
      <c r="E66" s="2">
        <v>182.38</v>
      </c>
      <c r="F66" s="2">
        <v>185.24</v>
      </c>
      <c r="G66" s="2">
        <v>225.27</v>
      </c>
      <c r="H66" s="2">
        <v>48.88</v>
      </c>
      <c r="I66" s="2">
        <v>94.03</v>
      </c>
      <c r="J66" s="2">
        <v>501.74</v>
      </c>
      <c r="K66" s="2">
        <v>206.78</v>
      </c>
      <c r="L66" s="2">
        <v>359.66</v>
      </c>
      <c r="M66" s="2">
        <v>211.83</v>
      </c>
      <c r="N66" s="2">
        <v>315.51</v>
      </c>
      <c r="O66" s="2">
        <v>332.81</v>
      </c>
      <c r="P66" s="2">
        <v>378.84</v>
      </c>
      <c r="Q66" s="2">
        <v>386.72</v>
      </c>
      <c r="R66" s="2">
        <v>138.59</v>
      </c>
      <c r="S66" s="2">
        <v>402.36</v>
      </c>
      <c r="T66" s="2">
        <v>334.67</v>
      </c>
      <c r="U66" s="2">
        <v>90.32</v>
      </c>
      <c r="V66" s="2">
        <v>153.28</v>
      </c>
      <c r="X66" s="2">
        <f t="shared" ref="X66:X97" si="12">AVERAGE(B66:H66)</f>
        <v>188.42857142857142</v>
      </c>
      <c r="Y66" s="2">
        <f t="shared" ref="Y66:Y97" si="13">AVERAGE(I66:O66)</f>
        <v>288.90857142857141</v>
      </c>
      <c r="Z66" s="2">
        <f t="shared" ref="Z66:Z97" si="14">AVERAGE(P66:V66)</f>
        <v>269.25428571428569</v>
      </c>
      <c r="AB66" s="2">
        <f t="shared" ref="AB66:AB97" si="15">Y66/X66</f>
        <v>1.5332524639878695</v>
      </c>
      <c r="AD66" s="2">
        <f t="shared" ref="AD66:AD97" si="16">Z66/X66</f>
        <v>1.4289461713419256</v>
      </c>
      <c r="AF66" s="2">
        <f t="shared" ref="AF66:AF97" si="17">Z66/Y66</f>
        <v>0.93197056903815345</v>
      </c>
    </row>
    <row r="67" spans="1:32" x14ac:dyDescent="0.5">
      <c r="A67" s="2" t="s">
        <v>93</v>
      </c>
      <c r="B67" s="2">
        <v>2183.1999999999998</v>
      </c>
      <c r="C67" s="2">
        <v>2672.37</v>
      </c>
      <c r="D67" s="2">
        <v>1822.13</v>
      </c>
      <c r="E67" s="2">
        <v>2411.9699999999998</v>
      </c>
      <c r="F67" s="2">
        <v>2612.16</v>
      </c>
      <c r="G67" s="2">
        <v>1242.1300000000001</v>
      </c>
      <c r="H67" s="2">
        <v>1457.46</v>
      </c>
      <c r="I67" s="2">
        <v>1399.68</v>
      </c>
      <c r="J67" s="2">
        <v>2954.04</v>
      </c>
      <c r="K67" s="2">
        <v>1625.8</v>
      </c>
      <c r="L67" s="2">
        <v>3710.34</v>
      </c>
      <c r="M67" s="2">
        <v>2204.2399999999998</v>
      </c>
      <c r="N67" s="2">
        <v>4380.05</v>
      </c>
      <c r="O67" s="2">
        <v>3929.36</v>
      </c>
      <c r="P67" s="2">
        <v>2203.25</v>
      </c>
      <c r="Q67" s="2">
        <v>3370.33</v>
      </c>
      <c r="R67" s="2">
        <v>6154.49</v>
      </c>
      <c r="S67" s="2">
        <v>2334.98</v>
      </c>
      <c r="T67" s="2">
        <v>1702.93</v>
      </c>
      <c r="U67" s="2">
        <v>1092.03</v>
      </c>
      <c r="V67" s="2">
        <v>3611.39</v>
      </c>
      <c r="X67" s="2">
        <f t="shared" si="12"/>
        <v>2057.3457142857142</v>
      </c>
      <c r="Y67" s="2">
        <f t="shared" si="13"/>
        <v>2886.2157142857145</v>
      </c>
      <c r="Z67" s="2">
        <f t="shared" si="14"/>
        <v>2924.2</v>
      </c>
      <c r="AB67" s="2">
        <f t="shared" si="15"/>
        <v>1.4028831879078594</v>
      </c>
      <c r="AD67" s="2">
        <f t="shared" si="16"/>
        <v>1.4213459506076485</v>
      </c>
      <c r="AF67" s="2">
        <f t="shared" si="17"/>
        <v>1.0131605844726979</v>
      </c>
    </row>
    <row r="68" spans="1:32" x14ac:dyDescent="0.5">
      <c r="A68" s="2" t="s">
        <v>94</v>
      </c>
      <c r="B68" s="2">
        <v>94.98</v>
      </c>
      <c r="C68" s="2">
        <v>37.42</v>
      </c>
      <c r="D68" s="2">
        <v>56.86</v>
      </c>
      <c r="E68" s="2">
        <v>255.6875</v>
      </c>
      <c r="F68" s="2">
        <v>20.78</v>
      </c>
      <c r="G68" s="2">
        <v>34.229999999999997</v>
      </c>
      <c r="H68" s="2">
        <v>21.99</v>
      </c>
      <c r="I68" s="2">
        <v>120.09</v>
      </c>
      <c r="J68" s="2">
        <v>210.3</v>
      </c>
      <c r="K68" s="2">
        <v>54.66</v>
      </c>
      <c r="L68" s="2">
        <v>68.430000000000007</v>
      </c>
      <c r="M68" s="2">
        <v>156.19999999999999</v>
      </c>
      <c r="N68" s="2">
        <v>64.09</v>
      </c>
      <c r="O68" s="2">
        <v>126.2</v>
      </c>
      <c r="P68" s="2">
        <v>255.6875</v>
      </c>
      <c r="Q68" s="2">
        <v>124.42</v>
      </c>
      <c r="R68" s="2">
        <v>21.47</v>
      </c>
      <c r="S68" s="2">
        <v>80.61</v>
      </c>
      <c r="T68" s="2">
        <v>149.75</v>
      </c>
      <c r="U68" s="2">
        <v>56.07</v>
      </c>
      <c r="V68" s="2">
        <v>37.5</v>
      </c>
      <c r="X68" s="2">
        <f t="shared" si="12"/>
        <v>74.563928571428576</v>
      </c>
      <c r="Y68" s="2">
        <f t="shared" si="13"/>
        <v>114.28142857142858</v>
      </c>
      <c r="Z68" s="2">
        <f t="shared" si="14"/>
        <v>103.64392857142857</v>
      </c>
      <c r="AB68" s="2">
        <f t="shared" si="15"/>
        <v>1.5326637257578588</v>
      </c>
      <c r="AD68" s="2">
        <f t="shared" si="16"/>
        <v>1.390000910053214</v>
      </c>
      <c r="AF68" s="2">
        <f t="shared" si="17"/>
        <v>0.90691838443941641</v>
      </c>
    </row>
    <row r="69" spans="1:32" x14ac:dyDescent="0.5">
      <c r="A69" s="2" t="s">
        <v>95</v>
      </c>
      <c r="B69" s="2">
        <v>42320.72</v>
      </c>
      <c r="C69" s="2">
        <v>53179.38</v>
      </c>
      <c r="D69" s="2">
        <v>52326.42</v>
      </c>
      <c r="E69" s="2">
        <v>13168.76</v>
      </c>
      <c r="F69" s="2">
        <v>37457.78</v>
      </c>
      <c r="G69" s="2">
        <v>31738.71</v>
      </c>
      <c r="H69" s="2">
        <v>32519.99</v>
      </c>
      <c r="I69" s="2">
        <v>48772.47</v>
      </c>
      <c r="J69" s="2">
        <v>46944.17</v>
      </c>
      <c r="K69" s="2">
        <v>55278.97</v>
      </c>
      <c r="L69" s="2">
        <v>52715.95</v>
      </c>
      <c r="M69" s="2">
        <v>56070.25</v>
      </c>
      <c r="N69" s="2">
        <v>52950.07</v>
      </c>
      <c r="O69" s="2">
        <v>46383.02</v>
      </c>
      <c r="P69" s="2">
        <v>58121.2</v>
      </c>
      <c r="Q69" s="2">
        <v>55514.9</v>
      </c>
      <c r="R69" s="2">
        <v>56241.61</v>
      </c>
      <c r="S69" s="2">
        <v>53540.06</v>
      </c>
      <c r="T69" s="2">
        <v>48972.61</v>
      </c>
      <c r="U69" s="2">
        <v>52254.3</v>
      </c>
      <c r="V69" s="2">
        <v>29933.69</v>
      </c>
      <c r="X69" s="2">
        <f t="shared" si="12"/>
        <v>37530.251428571428</v>
      </c>
      <c r="Y69" s="2">
        <f t="shared" si="13"/>
        <v>51302.128571428577</v>
      </c>
      <c r="Z69" s="2">
        <f t="shared" si="14"/>
        <v>50654.052857142859</v>
      </c>
      <c r="AB69" s="2">
        <f t="shared" si="15"/>
        <v>1.3669540335765709</v>
      </c>
      <c r="AD69" s="2">
        <f t="shared" si="16"/>
        <v>1.3496859447784142</v>
      </c>
      <c r="AF69" s="2">
        <f t="shared" si="17"/>
        <v>0.98736746929743091</v>
      </c>
    </row>
    <row r="70" spans="1:32" x14ac:dyDescent="0.5">
      <c r="A70" s="2" t="s">
        <v>96</v>
      </c>
      <c r="B70" s="2">
        <v>1497.49</v>
      </c>
      <c r="C70" s="2">
        <v>928.55</v>
      </c>
      <c r="D70" s="2">
        <v>3722.3449999999998</v>
      </c>
      <c r="E70" s="2">
        <v>650.41</v>
      </c>
      <c r="F70" s="2">
        <v>1626.27</v>
      </c>
      <c r="G70" s="2">
        <v>1068.57</v>
      </c>
      <c r="H70" s="2">
        <v>1018.02</v>
      </c>
      <c r="I70" s="2">
        <v>619.79</v>
      </c>
      <c r="J70" s="2">
        <v>975.06</v>
      </c>
      <c r="K70" s="2">
        <v>629.11</v>
      </c>
      <c r="L70" s="2">
        <v>1817.82</v>
      </c>
      <c r="M70" s="2">
        <v>1709.87</v>
      </c>
      <c r="N70" s="2">
        <v>1911.37</v>
      </c>
      <c r="O70" s="2">
        <v>3508.33</v>
      </c>
      <c r="P70" s="2">
        <v>1199.79</v>
      </c>
      <c r="Q70" s="2">
        <v>2093.09</v>
      </c>
      <c r="R70" s="2">
        <v>3722.3449999999998</v>
      </c>
      <c r="S70" s="2">
        <v>2156.61</v>
      </c>
      <c r="T70" s="2">
        <v>2058.3000000000002</v>
      </c>
      <c r="U70" s="2">
        <v>838.84</v>
      </c>
      <c r="V70" s="2">
        <v>1986.67</v>
      </c>
      <c r="X70" s="2">
        <f t="shared" si="12"/>
        <v>1501.6650000000002</v>
      </c>
      <c r="Y70" s="2">
        <f t="shared" si="13"/>
        <v>1595.9071428571426</v>
      </c>
      <c r="Z70" s="2">
        <f t="shared" si="14"/>
        <v>2007.9492857142861</v>
      </c>
      <c r="AB70" s="2">
        <f t="shared" si="15"/>
        <v>1.0627584333770463</v>
      </c>
      <c r="AD70" s="2">
        <f t="shared" si="16"/>
        <v>1.3371486221722459</v>
      </c>
      <c r="AF70" s="2">
        <f t="shared" si="17"/>
        <v>1.2581867903163007</v>
      </c>
    </row>
    <row r="71" spans="1:32" x14ac:dyDescent="0.5">
      <c r="A71" s="2" t="s">
        <v>97</v>
      </c>
      <c r="B71" s="2">
        <v>1206.43</v>
      </c>
      <c r="C71" s="2">
        <v>1432.07</v>
      </c>
      <c r="D71" s="2">
        <v>654.47</v>
      </c>
      <c r="E71" s="2">
        <v>1067.31</v>
      </c>
      <c r="F71" s="2">
        <v>992.61</v>
      </c>
      <c r="G71" s="2">
        <v>1131.19</v>
      </c>
      <c r="H71" s="2">
        <v>541.78</v>
      </c>
      <c r="I71" s="2">
        <v>598.5</v>
      </c>
      <c r="J71" s="2">
        <v>1164.1500000000001</v>
      </c>
      <c r="K71" s="2">
        <v>396.79</v>
      </c>
      <c r="L71" s="2">
        <v>1020.92</v>
      </c>
      <c r="M71" s="2">
        <v>814.54</v>
      </c>
      <c r="N71" s="2">
        <v>1406.36</v>
      </c>
      <c r="O71" s="2">
        <v>2063.1999999999998</v>
      </c>
      <c r="P71" s="2">
        <v>862.79</v>
      </c>
      <c r="Q71" s="2">
        <v>1082.83</v>
      </c>
      <c r="R71" s="2">
        <v>1686.33</v>
      </c>
      <c r="S71" s="2">
        <v>1422.76</v>
      </c>
      <c r="T71" s="2">
        <v>1361.9</v>
      </c>
      <c r="U71" s="2">
        <v>1410.44</v>
      </c>
      <c r="V71" s="2">
        <v>1534.77</v>
      </c>
      <c r="X71" s="2">
        <f t="shared" si="12"/>
        <v>1003.6942857142857</v>
      </c>
      <c r="Y71" s="2">
        <f t="shared" si="13"/>
        <v>1066.3514285714286</v>
      </c>
      <c r="Z71" s="2">
        <f t="shared" si="14"/>
        <v>1337.4028571428573</v>
      </c>
      <c r="AB71" s="2">
        <f t="shared" si="15"/>
        <v>1.0624265214507549</v>
      </c>
      <c r="AD71" s="2">
        <f t="shared" si="16"/>
        <v>1.3324802942273262</v>
      </c>
      <c r="AF71" s="2">
        <f t="shared" si="17"/>
        <v>1.2541858352781046</v>
      </c>
    </row>
    <row r="72" spans="1:32" x14ac:dyDescent="0.5">
      <c r="A72" s="2" t="s">
        <v>98</v>
      </c>
      <c r="B72" s="2">
        <v>2939.37</v>
      </c>
      <c r="C72" s="2">
        <v>1846.94</v>
      </c>
      <c r="D72" s="2">
        <v>1907.42</v>
      </c>
      <c r="E72" s="2">
        <v>7452.5</v>
      </c>
      <c r="F72" s="2">
        <v>1870.46</v>
      </c>
      <c r="G72" s="2">
        <v>1489.99</v>
      </c>
      <c r="H72" s="2">
        <v>1138.22</v>
      </c>
      <c r="I72" s="2">
        <v>4448.8</v>
      </c>
      <c r="J72" s="2">
        <v>4276.8100000000004</v>
      </c>
      <c r="K72" s="2">
        <v>1702.42</v>
      </c>
      <c r="L72" s="2">
        <v>2520.0100000000002</v>
      </c>
      <c r="M72" s="2">
        <v>4051.79</v>
      </c>
      <c r="N72" s="2">
        <v>3094.29</v>
      </c>
      <c r="O72" s="2">
        <v>2788.89</v>
      </c>
      <c r="P72" s="2">
        <v>6408.82</v>
      </c>
      <c r="Q72" s="2">
        <v>5599.64</v>
      </c>
      <c r="R72" s="2">
        <v>427.56</v>
      </c>
      <c r="S72" s="2">
        <v>4212.92</v>
      </c>
      <c r="T72" s="2">
        <v>4600.53</v>
      </c>
      <c r="U72" s="2">
        <v>2214.7399999999998</v>
      </c>
      <c r="V72" s="2">
        <v>1240.27</v>
      </c>
      <c r="X72" s="2">
        <f t="shared" si="12"/>
        <v>2663.5571428571429</v>
      </c>
      <c r="Y72" s="2">
        <f t="shared" si="13"/>
        <v>3269.0014285714287</v>
      </c>
      <c r="Z72" s="2">
        <f t="shared" si="14"/>
        <v>3529.2114285714283</v>
      </c>
      <c r="AB72" s="2">
        <f t="shared" si="15"/>
        <v>1.2273066629480447</v>
      </c>
      <c r="AD72" s="2">
        <f t="shared" si="16"/>
        <v>1.3249993295753797</v>
      </c>
      <c r="AF72" s="2">
        <f t="shared" si="17"/>
        <v>1.0795992310452165</v>
      </c>
    </row>
    <row r="73" spans="1:32" x14ac:dyDescent="0.5">
      <c r="A73" s="2" t="s">
        <v>99</v>
      </c>
      <c r="B73" s="2">
        <v>444.54</v>
      </c>
      <c r="C73" s="2">
        <v>221.07</v>
      </c>
      <c r="D73" s="2">
        <v>169.47</v>
      </c>
      <c r="E73" s="2">
        <v>144.9</v>
      </c>
      <c r="F73" s="2">
        <v>197.03</v>
      </c>
      <c r="G73" s="2">
        <v>131.15</v>
      </c>
      <c r="H73" s="2">
        <v>229.83</v>
      </c>
      <c r="I73" s="2">
        <v>208.4</v>
      </c>
      <c r="J73" s="2">
        <v>240.27</v>
      </c>
      <c r="K73" s="2">
        <v>348.46</v>
      </c>
      <c r="L73" s="2">
        <v>343.37</v>
      </c>
      <c r="M73" s="2">
        <v>184.25</v>
      </c>
      <c r="N73" s="2">
        <v>308.62</v>
      </c>
      <c r="O73" s="2">
        <v>541.11</v>
      </c>
      <c r="P73" s="2">
        <v>292.31</v>
      </c>
      <c r="Q73" s="2">
        <v>342.06</v>
      </c>
      <c r="R73" s="2">
        <v>494.51</v>
      </c>
      <c r="S73" s="2">
        <v>221.67</v>
      </c>
      <c r="T73" s="2">
        <v>258</v>
      </c>
      <c r="U73" s="2">
        <v>181.26</v>
      </c>
      <c r="V73" s="2">
        <v>215.45</v>
      </c>
      <c r="X73" s="2">
        <f t="shared" si="12"/>
        <v>219.71285714285713</v>
      </c>
      <c r="Y73" s="2">
        <f t="shared" si="13"/>
        <v>310.64</v>
      </c>
      <c r="Z73" s="2">
        <f t="shared" si="14"/>
        <v>286.46571428571434</v>
      </c>
      <c r="AB73" s="2">
        <f t="shared" si="15"/>
        <v>1.4138453435978127</v>
      </c>
      <c r="AD73" s="2">
        <f t="shared" si="16"/>
        <v>1.3038186204071551</v>
      </c>
      <c r="AF73" s="2">
        <f t="shared" si="17"/>
        <v>0.92217909569184375</v>
      </c>
    </row>
    <row r="74" spans="1:32" x14ac:dyDescent="0.5">
      <c r="A74" s="2" t="s">
        <v>100</v>
      </c>
      <c r="B74" s="2">
        <v>357.66</v>
      </c>
      <c r="C74" s="2">
        <v>153.22</v>
      </c>
      <c r="D74" s="2">
        <v>196.61</v>
      </c>
      <c r="E74" s="2">
        <v>164.92</v>
      </c>
      <c r="F74" s="2">
        <v>712.16499999999996</v>
      </c>
      <c r="G74" s="2">
        <v>3.1230000000000002</v>
      </c>
      <c r="H74" s="2">
        <v>31.23</v>
      </c>
      <c r="I74" s="2">
        <v>315.08</v>
      </c>
      <c r="J74" s="2">
        <v>384.16</v>
      </c>
      <c r="K74" s="2">
        <v>141.12</v>
      </c>
      <c r="L74" s="2">
        <v>591.95000000000005</v>
      </c>
      <c r="M74" s="2">
        <v>261.3</v>
      </c>
      <c r="N74" s="2">
        <v>376.18</v>
      </c>
      <c r="O74" s="2">
        <v>282.88</v>
      </c>
      <c r="P74" s="2">
        <v>559.9</v>
      </c>
      <c r="Q74" s="2">
        <v>514.87</v>
      </c>
      <c r="R74" s="2">
        <v>156.99</v>
      </c>
      <c r="S74" s="2">
        <v>207.66</v>
      </c>
      <c r="T74" s="2">
        <v>332.35</v>
      </c>
      <c r="U74" s="2">
        <v>180.55</v>
      </c>
      <c r="V74" s="2">
        <v>156.28</v>
      </c>
      <c r="X74" s="2">
        <f t="shared" si="12"/>
        <v>231.27542857142856</v>
      </c>
      <c r="Y74" s="2">
        <f t="shared" si="13"/>
        <v>336.09571428571428</v>
      </c>
      <c r="Z74" s="2">
        <f t="shared" si="14"/>
        <v>301.2285714285714</v>
      </c>
      <c r="AB74" s="2">
        <f t="shared" si="15"/>
        <v>1.4532270737179172</v>
      </c>
      <c r="AD74" s="2">
        <f t="shared" si="16"/>
        <v>1.3024668175484022</v>
      </c>
      <c r="AF74" s="2">
        <f t="shared" si="17"/>
        <v>0.89625829376835675</v>
      </c>
    </row>
    <row r="75" spans="1:32" x14ac:dyDescent="0.5">
      <c r="A75" s="2" t="s">
        <v>101</v>
      </c>
      <c r="B75" s="2">
        <v>1091.28</v>
      </c>
      <c r="C75" s="2">
        <v>1974.32</v>
      </c>
      <c r="D75" s="2">
        <v>1397.25</v>
      </c>
      <c r="E75" s="2">
        <v>391.07</v>
      </c>
      <c r="F75" s="2">
        <v>2689.99</v>
      </c>
      <c r="G75" s="2">
        <v>1383.6</v>
      </c>
      <c r="H75" s="2">
        <v>1038.3</v>
      </c>
      <c r="I75" s="2">
        <v>685.61</v>
      </c>
      <c r="J75" s="2">
        <v>1279.0899999999999</v>
      </c>
      <c r="K75" s="2">
        <v>1851.44</v>
      </c>
      <c r="L75" s="2">
        <v>1719.87</v>
      </c>
      <c r="M75" s="2">
        <v>3032.7</v>
      </c>
      <c r="N75" s="2">
        <v>1637.68</v>
      </c>
      <c r="O75" s="2">
        <v>3234.25</v>
      </c>
      <c r="P75" s="2">
        <v>2516.71</v>
      </c>
      <c r="Q75" s="2">
        <v>1772.54</v>
      </c>
      <c r="R75" s="2">
        <v>846.92</v>
      </c>
      <c r="S75" s="2">
        <v>2404.54</v>
      </c>
      <c r="T75" s="2">
        <v>1517.12</v>
      </c>
      <c r="U75" s="2">
        <v>1699.11</v>
      </c>
      <c r="V75" s="2">
        <v>2220.7800000000002</v>
      </c>
      <c r="X75" s="2">
        <f t="shared" si="12"/>
        <v>1423.6871428571428</v>
      </c>
      <c r="Y75" s="2">
        <f t="shared" si="13"/>
        <v>1920.0914285714284</v>
      </c>
      <c r="Z75" s="2">
        <f t="shared" si="14"/>
        <v>1853.9600000000003</v>
      </c>
      <c r="AB75" s="2">
        <f t="shared" si="15"/>
        <v>1.3486751202360872</v>
      </c>
      <c r="AD75" s="2">
        <f t="shared" si="16"/>
        <v>1.3022243048984481</v>
      </c>
      <c r="AF75" s="2">
        <f t="shared" si="17"/>
        <v>0.96555818770534763</v>
      </c>
    </row>
    <row r="76" spans="1:32" x14ac:dyDescent="0.5">
      <c r="A76" s="2" t="s">
        <v>102</v>
      </c>
      <c r="B76" s="2">
        <v>495.15</v>
      </c>
      <c r="C76" s="2">
        <v>459.52</v>
      </c>
      <c r="D76" s="2">
        <v>456.42</v>
      </c>
      <c r="E76" s="2">
        <v>207.04</v>
      </c>
      <c r="F76" s="2">
        <v>485.29</v>
      </c>
      <c r="G76" s="2">
        <v>366.86</v>
      </c>
      <c r="H76" s="2">
        <v>280.73</v>
      </c>
      <c r="I76" s="2">
        <v>240.84</v>
      </c>
      <c r="J76" s="2">
        <v>321.43</v>
      </c>
      <c r="K76" s="2">
        <v>312.41000000000003</v>
      </c>
      <c r="L76" s="2">
        <v>529.52</v>
      </c>
      <c r="M76" s="2">
        <v>440.6</v>
      </c>
      <c r="N76" s="2">
        <v>638.92999999999995</v>
      </c>
      <c r="O76" s="2">
        <v>875.86249999999995</v>
      </c>
      <c r="P76" s="2">
        <v>578.84</v>
      </c>
      <c r="Q76" s="2">
        <v>483.41</v>
      </c>
      <c r="R76" s="2">
        <v>217.44</v>
      </c>
      <c r="S76" s="2">
        <v>710.64</v>
      </c>
      <c r="T76" s="2">
        <v>634.41999999999996</v>
      </c>
      <c r="U76" s="2">
        <v>407.04</v>
      </c>
      <c r="V76" s="2">
        <v>522.55999999999995</v>
      </c>
      <c r="X76" s="2">
        <f t="shared" si="12"/>
        <v>393.00142857142862</v>
      </c>
      <c r="Y76" s="2">
        <f t="shared" si="13"/>
        <v>479.94178571428569</v>
      </c>
      <c r="Z76" s="2">
        <f t="shared" si="14"/>
        <v>507.76428571428568</v>
      </c>
      <c r="AB76" s="2">
        <f t="shared" si="15"/>
        <v>1.2212214786569293</v>
      </c>
      <c r="AD76" s="2">
        <f t="shared" si="16"/>
        <v>1.2920163867088812</v>
      </c>
      <c r="AF76" s="2">
        <f t="shared" si="17"/>
        <v>1.0579705723238755</v>
      </c>
    </row>
    <row r="77" spans="1:32" x14ac:dyDescent="0.5">
      <c r="A77" s="2" t="s">
        <v>103</v>
      </c>
      <c r="B77" s="2">
        <v>73.44</v>
      </c>
      <c r="C77" s="2">
        <v>41.96</v>
      </c>
      <c r="D77" s="2">
        <v>38.1</v>
      </c>
      <c r="E77" s="2">
        <v>157.65</v>
      </c>
      <c r="F77" s="2">
        <v>35.28</v>
      </c>
      <c r="G77" s="2">
        <v>22.67</v>
      </c>
      <c r="H77" s="2">
        <v>10.41</v>
      </c>
      <c r="I77" s="2">
        <v>112.37</v>
      </c>
      <c r="J77" s="2">
        <v>161.15</v>
      </c>
      <c r="K77" s="2">
        <v>42.82</v>
      </c>
      <c r="L77" s="2">
        <v>26.44</v>
      </c>
      <c r="M77" s="2">
        <v>112.46</v>
      </c>
      <c r="N77" s="2">
        <v>54.37</v>
      </c>
      <c r="O77" s="2">
        <v>55.43</v>
      </c>
      <c r="P77" s="2">
        <v>131.19999999999999</v>
      </c>
      <c r="Q77" s="2">
        <v>105.77</v>
      </c>
      <c r="R77" s="2">
        <v>11.86</v>
      </c>
      <c r="S77" s="2">
        <v>73.849999999999994</v>
      </c>
      <c r="T77" s="2">
        <v>109.37</v>
      </c>
      <c r="U77" s="2">
        <v>37.6</v>
      </c>
      <c r="V77" s="2">
        <v>19.260000000000002</v>
      </c>
      <c r="X77" s="2">
        <f t="shared" si="12"/>
        <v>54.215714285714284</v>
      </c>
      <c r="Y77" s="2">
        <f t="shared" si="13"/>
        <v>80.72</v>
      </c>
      <c r="Z77" s="2">
        <f t="shared" si="14"/>
        <v>69.844285714285704</v>
      </c>
      <c r="AB77" s="2">
        <f t="shared" si="15"/>
        <v>1.4888672235250717</v>
      </c>
      <c r="AD77" s="2">
        <f t="shared" si="16"/>
        <v>1.2882664488419275</v>
      </c>
      <c r="AF77" s="2">
        <f t="shared" si="17"/>
        <v>0.86526617584595766</v>
      </c>
    </row>
    <row r="78" spans="1:32" x14ac:dyDescent="0.5">
      <c r="A78" s="2" t="s">
        <v>104</v>
      </c>
      <c r="B78" s="2">
        <v>13658.12</v>
      </c>
      <c r="C78" s="2">
        <v>13018.39</v>
      </c>
      <c r="D78" s="2">
        <v>10124.65</v>
      </c>
      <c r="E78" s="2">
        <v>12101.56</v>
      </c>
      <c r="F78" s="2">
        <v>12725.84</v>
      </c>
      <c r="G78" s="2">
        <v>7485.99</v>
      </c>
      <c r="H78" s="2">
        <v>9618.75</v>
      </c>
      <c r="I78" s="2">
        <v>15518.52</v>
      </c>
      <c r="J78" s="2">
        <v>16014.14</v>
      </c>
      <c r="K78" s="2">
        <v>15633.57</v>
      </c>
      <c r="L78" s="2">
        <v>16462.59</v>
      </c>
      <c r="M78" s="2">
        <v>17767.560000000001</v>
      </c>
      <c r="N78" s="2">
        <v>17847.490000000002</v>
      </c>
      <c r="O78" s="2">
        <v>20048.47</v>
      </c>
      <c r="P78" s="2">
        <v>15834.51</v>
      </c>
      <c r="Q78" s="2">
        <v>16454.13</v>
      </c>
      <c r="R78" s="2">
        <v>11075.69</v>
      </c>
      <c r="S78" s="2">
        <v>14132.55</v>
      </c>
      <c r="T78" s="2">
        <v>14785.55</v>
      </c>
      <c r="U78" s="2">
        <v>18984.77</v>
      </c>
      <c r="V78" s="2">
        <v>9688.15</v>
      </c>
      <c r="X78" s="2">
        <f t="shared" si="12"/>
        <v>11247.614285714286</v>
      </c>
      <c r="Y78" s="2">
        <f t="shared" si="13"/>
        <v>17041.762857142858</v>
      </c>
      <c r="Z78" s="2">
        <f t="shared" si="14"/>
        <v>14422.192857142858</v>
      </c>
      <c r="AB78" s="2">
        <f t="shared" si="15"/>
        <v>1.5151446719494801</v>
      </c>
      <c r="AD78" s="2">
        <f t="shared" si="16"/>
        <v>1.2822446156835798</v>
      </c>
      <c r="AF78" s="2">
        <f t="shared" si="17"/>
        <v>0.84628526860987052</v>
      </c>
    </row>
    <row r="79" spans="1:32" x14ac:dyDescent="0.5">
      <c r="A79" s="2" t="s">
        <v>105</v>
      </c>
      <c r="B79" s="2">
        <v>347.72</v>
      </c>
      <c r="C79" s="2">
        <v>36.49</v>
      </c>
      <c r="D79" s="2">
        <v>171.09</v>
      </c>
      <c r="E79" s="2">
        <v>1.339</v>
      </c>
      <c r="F79" s="2">
        <v>1.339</v>
      </c>
      <c r="G79" s="2">
        <v>15.33</v>
      </c>
      <c r="H79" s="2">
        <v>1.339</v>
      </c>
      <c r="I79" s="2">
        <v>1.339</v>
      </c>
      <c r="J79" s="2">
        <v>1.339</v>
      </c>
      <c r="K79" s="2">
        <v>69.66</v>
      </c>
      <c r="L79" s="2">
        <v>14.84</v>
      </c>
      <c r="M79" s="2">
        <v>309.8</v>
      </c>
      <c r="N79" s="2">
        <v>13.39</v>
      </c>
      <c r="O79" s="2">
        <v>183.37</v>
      </c>
      <c r="P79" s="2">
        <v>433.39150000000001</v>
      </c>
      <c r="Q79" s="2">
        <v>113.62</v>
      </c>
      <c r="R79" s="2">
        <v>1.339</v>
      </c>
      <c r="S79" s="2">
        <v>112.97</v>
      </c>
      <c r="T79" s="2">
        <v>54.78</v>
      </c>
      <c r="U79" s="2">
        <v>1.339</v>
      </c>
      <c r="V79" s="2">
        <v>1.339</v>
      </c>
      <c r="X79" s="2">
        <f t="shared" si="12"/>
        <v>82.092428571428613</v>
      </c>
      <c r="Y79" s="2">
        <f t="shared" si="13"/>
        <v>84.819714285714298</v>
      </c>
      <c r="Z79" s="2">
        <f t="shared" si="14"/>
        <v>102.68264285714289</v>
      </c>
      <c r="AB79" s="2">
        <f t="shared" si="15"/>
        <v>1.0332221346322172</v>
      </c>
      <c r="AD79" s="2">
        <f t="shared" si="16"/>
        <v>1.2508174583700948</v>
      </c>
      <c r="AF79" s="2">
        <f t="shared" si="17"/>
        <v>1.2105987826280282</v>
      </c>
    </row>
    <row r="80" spans="1:32" x14ac:dyDescent="0.5">
      <c r="A80" s="2" t="s">
        <v>106</v>
      </c>
      <c r="B80" s="2">
        <v>430.22</v>
      </c>
      <c r="C80" s="2">
        <v>293.27999999999997</v>
      </c>
      <c r="D80" s="2">
        <v>424.65</v>
      </c>
      <c r="E80" s="2">
        <v>307.01</v>
      </c>
      <c r="F80" s="2">
        <v>258.52999999999997</v>
      </c>
      <c r="G80" s="2">
        <v>304.49</v>
      </c>
      <c r="H80" s="2">
        <v>1236.7562499999999</v>
      </c>
      <c r="I80" s="2">
        <v>658.89</v>
      </c>
      <c r="J80" s="2">
        <v>1184.1400000000001</v>
      </c>
      <c r="K80" s="2">
        <v>173.88</v>
      </c>
      <c r="L80" s="2">
        <v>726.19</v>
      </c>
      <c r="M80" s="2">
        <v>141.75</v>
      </c>
      <c r="N80" s="2">
        <v>552.20000000000005</v>
      </c>
      <c r="O80" s="2">
        <v>1236.7562499999999</v>
      </c>
      <c r="P80" s="2">
        <v>306.93</v>
      </c>
      <c r="Q80" s="2">
        <v>548.07000000000005</v>
      </c>
      <c r="R80" s="2">
        <v>481.97</v>
      </c>
      <c r="S80" s="2">
        <v>550.87</v>
      </c>
      <c r="T80" s="2">
        <v>292.42</v>
      </c>
      <c r="U80" s="2">
        <v>630.35</v>
      </c>
      <c r="V80" s="2">
        <v>1236.7562499999999</v>
      </c>
      <c r="X80" s="2">
        <f t="shared" si="12"/>
        <v>464.9908928571428</v>
      </c>
      <c r="Y80" s="2">
        <f t="shared" si="13"/>
        <v>667.68660714285704</v>
      </c>
      <c r="Z80" s="2">
        <f t="shared" si="14"/>
        <v>578.19517857142853</v>
      </c>
      <c r="AB80" s="2">
        <f t="shared" si="15"/>
        <v>1.435913299377215</v>
      </c>
      <c r="AD80" s="2">
        <f t="shared" si="16"/>
        <v>1.2434548449297587</v>
      </c>
      <c r="AF80" s="2">
        <f t="shared" si="17"/>
        <v>0.86596791426687836</v>
      </c>
    </row>
    <row r="81" spans="1:32" x14ac:dyDescent="0.5">
      <c r="A81" s="2" t="s">
        <v>107</v>
      </c>
      <c r="B81" s="2">
        <v>4.3</v>
      </c>
      <c r="C81" s="2">
        <v>5.08</v>
      </c>
      <c r="D81" s="2">
        <v>2.41</v>
      </c>
      <c r="E81" s="2">
        <v>12.36</v>
      </c>
      <c r="F81" s="2">
        <v>7.16</v>
      </c>
      <c r="G81" s="2">
        <v>5.94</v>
      </c>
      <c r="H81" s="2">
        <v>6.63</v>
      </c>
      <c r="I81" s="2">
        <v>2.41</v>
      </c>
      <c r="J81" s="2">
        <v>4.05</v>
      </c>
      <c r="K81" s="2">
        <v>4.13</v>
      </c>
      <c r="L81" s="2">
        <v>10.19</v>
      </c>
      <c r="M81" s="2">
        <v>4.5199999999999996</v>
      </c>
      <c r="N81" s="2">
        <v>6.32</v>
      </c>
      <c r="O81" s="2">
        <v>15.72875</v>
      </c>
      <c r="P81" s="2">
        <v>6.14</v>
      </c>
      <c r="Q81" s="2">
        <v>11.15</v>
      </c>
      <c r="R81" s="2">
        <v>4.0999999999999996</v>
      </c>
      <c r="S81" s="2">
        <v>7.55</v>
      </c>
      <c r="T81" s="2">
        <v>7.28</v>
      </c>
      <c r="U81" s="2">
        <v>2.92</v>
      </c>
      <c r="V81" s="2">
        <v>15.18</v>
      </c>
      <c r="X81" s="2">
        <f t="shared" si="12"/>
        <v>6.2685714285714287</v>
      </c>
      <c r="Y81" s="2">
        <f t="shared" si="13"/>
        <v>6.7641071428571431</v>
      </c>
      <c r="Z81" s="2">
        <f t="shared" si="14"/>
        <v>7.76</v>
      </c>
      <c r="AB81" s="2">
        <f t="shared" si="15"/>
        <v>1.0790508204193254</v>
      </c>
      <c r="AD81" s="2">
        <f t="shared" si="16"/>
        <v>1.2379216043755696</v>
      </c>
      <c r="AF81" s="2">
        <f t="shared" si="17"/>
        <v>1.147231975500937</v>
      </c>
    </row>
    <row r="82" spans="1:32" x14ac:dyDescent="0.5">
      <c r="A82" s="2" t="s">
        <v>108</v>
      </c>
      <c r="B82" s="2">
        <v>1339.75</v>
      </c>
      <c r="C82" s="2">
        <v>1379.46</v>
      </c>
      <c r="D82" s="2">
        <v>2060.46</v>
      </c>
      <c r="E82" s="2">
        <v>1525.99</v>
      </c>
      <c r="F82" s="2">
        <v>2141.6799999999998</v>
      </c>
      <c r="G82" s="2">
        <v>1136.68</v>
      </c>
      <c r="H82" s="2">
        <v>835.68</v>
      </c>
      <c r="I82" s="2">
        <v>885.37</v>
      </c>
      <c r="J82" s="2">
        <v>1370.27</v>
      </c>
      <c r="K82" s="2">
        <v>1437.15</v>
      </c>
      <c r="L82" s="2">
        <v>1644.02</v>
      </c>
      <c r="M82" s="2">
        <v>1472.21</v>
      </c>
      <c r="N82" s="2">
        <v>1821.69</v>
      </c>
      <c r="O82" s="2">
        <v>3247.99</v>
      </c>
      <c r="P82" s="2">
        <v>2214.5</v>
      </c>
      <c r="Q82" s="2">
        <v>2208.44</v>
      </c>
      <c r="R82" s="2">
        <v>1191.21</v>
      </c>
      <c r="S82" s="2">
        <v>2608.17</v>
      </c>
      <c r="T82" s="2">
        <v>1996.82</v>
      </c>
      <c r="U82" s="2">
        <v>970.98</v>
      </c>
      <c r="V82" s="2">
        <v>1674.24</v>
      </c>
      <c r="X82" s="2">
        <f t="shared" si="12"/>
        <v>1488.5285714285715</v>
      </c>
      <c r="Y82" s="2">
        <f t="shared" si="13"/>
        <v>1696.9571428571428</v>
      </c>
      <c r="Z82" s="2">
        <f t="shared" si="14"/>
        <v>1837.765714285714</v>
      </c>
      <c r="AB82" s="2">
        <f t="shared" si="15"/>
        <v>1.140023225236811</v>
      </c>
      <c r="AD82" s="2">
        <f t="shared" si="16"/>
        <v>1.2346190389358616</v>
      </c>
      <c r="AF82" s="2">
        <f t="shared" si="17"/>
        <v>1.0829770934529872</v>
      </c>
    </row>
    <row r="83" spans="1:32" x14ac:dyDescent="0.5">
      <c r="A83" s="2" t="s">
        <v>109</v>
      </c>
      <c r="B83" s="2">
        <v>7292.09</v>
      </c>
      <c r="C83" s="2">
        <v>11729.38</v>
      </c>
      <c r="D83" s="2">
        <v>11140.27</v>
      </c>
      <c r="E83" s="2">
        <v>10187.34</v>
      </c>
      <c r="F83" s="2">
        <v>13127.58</v>
      </c>
      <c r="G83" s="2">
        <v>6106.27</v>
      </c>
      <c r="H83" s="2">
        <v>7480.59</v>
      </c>
      <c r="I83" s="2">
        <v>10294.709999999999</v>
      </c>
      <c r="J83" s="2">
        <v>8173.9</v>
      </c>
      <c r="K83" s="2">
        <v>10416.299999999999</v>
      </c>
      <c r="L83" s="2">
        <v>12004.73</v>
      </c>
      <c r="M83" s="2">
        <v>13495.78</v>
      </c>
      <c r="N83" s="2">
        <v>13569.05</v>
      </c>
      <c r="O83" s="2">
        <v>13793.29</v>
      </c>
      <c r="P83" s="2">
        <v>11862.9</v>
      </c>
      <c r="Q83" s="2">
        <v>13946.57</v>
      </c>
      <c r="R83" s="2">
        <v>11309.81</v>
      </c>
      <c r="S83" s="2">
        <v>13830.88</v>
      </c>
      <c r="T83" s="2">
        <v>11652.18</v>
      </c>
      <c r="U83" s="2">
        <v>9786.56</v>
      </c>
      <c r="V83" s="2">
        <v>10198.59</v>
      </c>
      <c r="X83" s="2">
        <f t="shared" si="12"/>
        <v>9580.5028571428575</v>
      </c>
      <c r="Y83" s="2">
        <f t="shared" si="13"/>
        <v>11678.25142857143</v>
      </c>
      <c r="Z83" s="2">
        <f t="shared" si="14"/>
        <v>11798.212857142857</v>
      </c>
      <c r="AB83" s="2">
        <f t="shared" si="15"/>
        <v>1.2189601738769453</v>
      </c>
      <c r="AD83" s="2">
        <f t="shared" si="16"/>
        <v>1.2314815864124042</v>
      </c>
      <c r="AF83" s="2">
        <f t="shared" si="17"/>
        <v>1.0102722080702882</v>
      </c>
    </row>
    <row r="84" spans="1:32" x14ac:dyDescent="0.5">
      <c r="A84" s="2" t="s">
        <v>110</v>
      </c>
      <c r="B84" s="2">
        <v>3168.3</v>
      </c>
      <c r="C84" s="2">
        <v>3454.08</v>
      </c>
      <c r="D84" s="2">
        <v>3529.9</v>
      </c>
      <c r="E84" s="2">
        <v>2939.93</v>
      </c>
      <c r="F84" s="2">
        <v>3205.29</v>
      </c>
      <c r="G84" s="2">
        <v>3396.5</v>
      </c>
      <c r="H84" s="2">
        <v>3876.64</v>
      </c>
      <c r="I84" s="2">
        <v>4181.33</v>
      </c>
      <c r="J84" s="2">
        <v>4382.29</v>
      </c>
      <c r="K84" s="2">
        <v>5148.08</v>
      </c>
      <c r="L84" s="2">
        <v>4242.57</v>
      </c>
      <c r="M84" s="2">
        <v>3915.17</v>
      </c>
      <c r="N84" s="2">
        <v>3613.48</v>
      </c>
      <c r="O84" s="2">
        <v>3737.78</v>
      </c>
      <c r="P84" s="2">
        <v>4775.3100000000004</v>
      </c>
      <c r="Q84" s="2">
        <v>4485.67</v>
      </c>
      <c r="R84" s="2">
        <v>5172.93</v>
      </c>
      <c r="S84" s="2">
        <v>4363.0200000000004</v>
      </c>
      <c r="T84" s="2">
        <v>3281.49</v>
      </c>
      <c r="U84" s="2">
        <v>3811.56</v>
      </c>
      <c r="V84" s="2">
        <v>2849.33</v>
      </c>
      <c r="X84" s="2">
        <f t="shared" si="12"/>
        <v>3367.2342857142858</v>
      </c>
      <c r="Y84" s="2">
        <f t="shared" si="13"/>
        <v>4174.3857142857132</v>
      </c>
      <c r="Z84" s="2">
        <f t="shared" si="14"/>
        <v>4105.6157142857137</v>
      </c>
      <c r="AB84" s="2">
        <f t="shared" si="15"/>
        <v>1.2397075344581221</v>
      </c>
      <c r="AD84" s="2">
        <f t="shared" si="16"/>
        <v>1.2192842451456556</v>
      </c>
      <c r="AF84" s="2">
        <f t="shared" si="17"/>
        <v>0.98352571978084036</v>
      </c>
    </row>
    <row r="85" spans="1:32" x14ac:dyDescent="0.5">
      <c r="A85" s="3" t="s">
        <v>111</v>
      </c>
      <c r="B85" s="3">
        <v>7235.49</v>
      </c>
      <c r="C85" s="3">
        <v>8141.18</v>
      </c>
      <c r="D85" s="3">
        <v>7840.6</v>
      </c>
      <c r="E85" s="3">
        <v>7846.56</v>
      </c>
      <c r="F85" s="3">
        <v>7521.38</v>
      </c>
      <c r="G85" s="3">
        <v>7718.58</v>
      </c>
      <c r="H85" s="3">
        <v>6953.7</v>
      </c>
      <c r="I85" s="3">
        <v>8898.07</v>
      </c>
      <c r="J85" s="3">
        <v>8898.07</v>
      </c>
      <c r="K85" s="3">
        <v>8111.46</v>
      </c>
      <c r="L85" s="3">
        <v>8817.91</v>
      </c>
      <c r="M85" s="3">
        <v>7697.86</v>
      </c>
      <c r="N85" s="3">
        <v>8636.0300000000007</v>
      </c>
      <c r="O85" s="3">
        <v>8075.91</v>
      </c>
      <c r="P85" s="4">
        <v>9247.76</v>
      </c>
      <c r="Q85" s="4">
        <v>9051.73</v>
      </c>
      <c r="R85" s="4">
        <v>8896.6299999999992</v>
      </c>
      <c r="S85" s="4">
        <v>9456.5</v>
      </c>
      <c r="T85" s="4">
        <v>8557.31</v>
      </c>
      <c r="U85" s="4">
        <v>8756.99</v>
      </c>
      <c r="V85" s="4">
        <v>9667.6299999999992</v>
      </c>
      <c r="X85" s="2">
        <f t="shared" si="12"/>
        <v>7608.2128571428566</v>
      </c>
      <c r="Y85" s="2">
        <f t="shared" si="13"/>
        <v>8447.9014285714275</v>
      </c>
      <c r="Z85" s="2">
        <f t="shared" si="14"/>
        <v>9090.6499999999978</v>
      </c>
      <c r="AB85" s="2">
        <f t="shared" si="15"/>
        <v>1.1103660724529074</v>
      </c>
      <c r="AD85" s="2">
        <f t="shared" si="16"/>
        <v>1.1948469595544211</v>
      </c>
      <c r="AF85" s="2">
        <f t="shared" si="17"/>
        <v>1.0760838152366157</v>
      </c>
    </row>
    <row r="86" spans="1:32" x14ac:dyDescent="0.5">
      <c r="A86" s="2" t="s">
        <v>112</v>
      </c>
      <c r="B86" s="2">
        <v>3458.18</v>
      </c>
      <c r="C86" s="2">
        <v>3118.69</v>
      </c>
      <c r="D86" s="2">
        <v>6023.5487499999999</v>
      </c>
      <c r="E86" s="2">
        <v>3105.94</v>
      </c>
      <c r="F86" s="2">
        <v>1427.93</v>
      </c>
      <c r="G86" s="2">
        <v>1785.61</v>
      </c>
      <c r="H86" s="2">
        <v>1299.54</v>
      </c>
      <c r="I86" s="2">
        <v>912.93</v>
      </c>
      <c r="J86" s="2">
        <v>1546.18</v>
      </c>
      <c r="K86" s="2">
        <v>3436.5</v>
      </c>
      <c r="L86" s="2">
        <v>5959.55</v>
      </c>
      <c r="M86" s="2">
        <v>3362.33</v>
      </c>
      <c r="N86" s="2">
        <v>3674.56</v>
      </c>
      <c r="O86" s="2">
        <v>1847.26</v>
      </c>
      <c r="P86" s="2">
        <v>6023.5487499999999</v>
      </c>
      <c r="Q86" s="2">
        <v>6023.5487499999999</v>
      </c>
      <c r="R86" s="2">
        <v>2572.73</v>
      </c>
      <c r="S86" s="2">
        <v>2813.82</v>
      </c>
      <c r="T86" s="2">
        <v>2092.9699999999998</v>
      </c>
      <c r="U86" s="2">
        <v>1931.73</v>
      </c>
      <c r="V86" s="2">
        <v>2577.2399999999998</v>
      </c>
      <c r="X86" s="2">
        <f t="shared" si="12"/>
        <v>2888.49125</v>
      </c>
      <c r="Y86" s="2">
        <f t="shared" si="13"/>
        <v>2962.758571428571</v>
      </c>
      <c r="Z86" s="2">
        <f t="shared" si="14"/>
        <v>3433.6553571428572</v>
      </c>
      <c r="AB86" s="2">
        <f t="shared" si="15"/>
        <v>1.0257114579899007</v>
      </c>
      <c r="AD86" s="2">
        <f t="shared" si="16"/>
        <v>1.1887366309809169</v>
      </c>
      <c r="AF86" s="2">
        <f t="shared" si="17"/>
        <v>1.1589386291057902</v>
      </c>
    </row>
    <row r="87" spans="1:32" x14ac:dyDescent="0.5">
      <c r="A87" s="2" t="s">
        <v>113</v>
      </c>
      <c r="B87" s="2">
        <v>14692.16</v>
      </c>
      <c r="C87" s="2">
        <v>13132.54</v>
      </c>
      <c r="D87" s="2">
        <v>18824.05</v>
      </c>
      <c r="E87" s="2">
        <v>35717.83</v>
      </c>
      <c r="F87" s="2">
        <v>39985.699999999997</v>
      </c>
      <c r="G87" s="2">
        <v>21649.02</v>
      </c>
      <c r="H87" s="2">
        <v>18309.36</v>
      </c>
      <c r="I87" s="2">
        <v>14717.45</v>
      </c>
      <c r="J87" s="2">
        <v>19645.04</v>
      </c>
      <c r="K87" s="2">
        <v>19063.490000000002</v>
      </c>
      <c r="L87" s="2">
        <v>33454.720000000001</v>
      </c>
      <c r="M87" s="2">
        <v>18140.55</v>
      </c>
      <c r="N87" s="2">
        <v>59350.52</v>
      </c>
      <c r="O87" s="2">
        <v>53342.23</v>
      </c>
      <c r="P87" s="2">
        <v>22345.72</v>
      </c>
      <c r="Q87" s="2">
        <v>25125.53</v>
      </c>
      <c r="R87" s="2">
        <v>32131.01</v>
      </c>
      <c r="S87" s="2">
        <v>34467.24</v>
      </c>
      <c r="T87" s="2">
        <v>31693.360000000001</v>
      </c>
      <c r="U87" s="2">
        <v>11334.46</v>
      </c>
      <c r="V87" s="2">
        <v>35400.29</v>
      </c>
      <c r="X87" s="2">
        <f t="shared" si="12"/>
        <v>23187.237142857139</v>
      </c>
      <c r="Y87" s="2">
        <f t="shared" si="13"/>
        <v>31102.000000000004</v>
      </c>
      <c r="Z87" s="2">
        <f t="shared" si="14"/>
        <v>27499.658571428568</v>
      </c>
      <c r="AB87" s="2">
        <f t="shared" si="15"/>
        <v>1.341341351208849</v>
      </c>
      <c r="AD87" s="2">
        <f t="shared" si="16"/>
        <v>1.1859825472954149</v>
      </c>
      <c r="AF87" s="2">
        <f t="shared" si="17"/>
        <v>0.88417653435240706</v>
      </c>
    </row>
    <row r="88" spans="1:32" x14ac:dyDescent="0.5">
      <c r="A88" s="2" t="s">
        <v>114</v>
      </c>
      <c r="B88" s="2">
        <v>392.44</v>
      </c>
      <c r="C88" s="2">
        <v>485.92</v>
      </c>
      <c r="D88" s="2">
        <v>352.13</v>
      </c>
      <c r="E88" s="2">
        <v>441.21</v>
      </c>
      <c r="F88" s="2">
        <v>357.63</v>
      </c>
      <c r="G88" s="2">
        <v>281.85000000000002</v>
      </c>
      <c r="H88" s="2">
        <v>273.92</v>
      </c>
      <c r="I88" s="2">
        <v>481.12</v>
      </c>
      <c r="J88" s="2">
        <v>421.44</v>
      </c>
      <c r="K88" s="2">
        <v>628.03</v>
      </c>
      <c r="L88" s="2">
        <v>491.84</v>
      </c>
      <c r="M88" s="2">
        <v>599.84</v>
      </c>
      <c r="N88" s="2">
        <v>435.2</v>
      </c>
      <c r="O88" s="2">
        <v>584.9</v>
      </c>
      <c r="P88" s="2">
        <v>515.9</v>
      </c>
      <c r="Q88" s="2">
        <v>370.07</v>
      </c>
      <c r="R88" s="2">
        <v>594.84</v>
      </c>
      <c r="S88" s="2">
        <v>384.05</v>
      </c>
      <c r="T88" s="2">
        <v>638.29</v>
      </c>
      <c r="U88" s="2">
        <v>278.2</v>
      </c>
      <c r="V88" s="2">
        <v>255.38</v>
      </c>
      <c r="X88" s="2">
        <f t="shared" si="12"/>
        <v>369.3</v>
      </c>
      <c r="Y88" s="2">
        <f t="shared" si="13"/>
        <v>520.33857142857141</v>
      </c>
      <c r="Z88" s="2">
        <f t="shared" si="14"/>
        <v>433.81857142857137</v>
      </c>
      <c r="AB88" s="2">
        <f t="shared" si="15"/>
        <v>1.408986112722912</v>
      </c>
      <c r="AD88" s="2">
        <f t="shared" si="16"/>
        <v>1.1747050404239678</v>
      </c>
      <c r="AF88" s="2">
        <f t="shared" si="17"/>
        <v>0.83372364696612367</v>
      </c>
    </row>
    <row r="89" spans="1:32" x14ac:dyDescent="0.5">
      <c r="A89" s="2" t="s">
        <v>115</v>
      </c>
      <c r="B89" s="2">
        <v>652.19000000000005</v>
      </c>
      <c r="C89" s="2">
        <v>253.27</v>
      </c>
      <c r="D89" s="2">
        <v>1704.43</v>
      </c>
      <c r="E89" s="2">
        <v>614.15</v>
      </c>
      <c r="F89" s="2">
        <v>343.84</v>
      </c>
      <c r="G89" s="2">
        <v>691.67</v>
      </c>
      <c r="H89" s="2">
        <v>219.9</v>
      </c>
      <c r="I89" s="2">
        <v>252.35</v>
      </c>
      <c r="J89" s="2">
        <v>589.41</v>
      </c>
      <c r="K89" s="2">
        <v>373.06</v>
      </c>
      <c r="L89" s="2">
        <v>843.33</v>
      </c>
      <c r="M89" s="2">
        <v>1311.04</v>
      </c>
      <c r="N89" s="2">
        <v>1108.96</v>
      </c>
      <c r="O89" s="2">
        <v>388.84</v>
      </c>
      <c r="P89" s="2">
        <v>656.67</v>
      </c>
      <c r="Q89" s="2">
        <v>1046.45</v>
      </c>
      <c r="R89" s="2">
        <v>892.88</v>
      </c>
      <c r="S89" s="2">
        <v>1055.07</v>
      </c>
      <c r="T89" s="2">
        <v>591.24</v>
      </c>
      <c r="U89" s="2">
        <v>330.49</v>
      </c>
      <c r="V89" s="2">
        <v>638.32000000000005</v>
      </c>
      <c r="X89" s="2">
        <f t="shared" si="12"/>
        <v>639.92142857142858</v>
      </c>
      <c r="Y89" s="2">
        <f t="shared" si="13"/>
        <v>695.28428571428572</v>
      </c>
      <c r="Z89" s="2">
        <f t="shared" si="14"/>
        <v>744.44571428571419</v>
      </c>
      <c r="AB89" s="2">
        <f t="shared" si="15"/>
        <v>1.0865150855573786</v>
      </c>
      <c r="AD89" s="2">
        <f t="shared" si="16"/>
        <v>1.1633392492381875</v>
      </c>
      <c r="AF89" s="2">
        <f t="shared" si="17"/>
        <v>1.0707069461823426</v>
      </c>
    </row>
    <row r="90" spans="1:32" x14ac:dyDescent="0.5">
      <c r="A90" s="2" t="s">
        <v>116</v>
      </c>
      <c r="B90" s="2">
        <v>12746.51</v>
      </c>
      <c r="C90" s="2">
        <v>11053.12</v>
      </c>
      <c r="D90" s="2">
        <v>11073.32</v>
      </c>
      <c r="E90" s="2">
        <v>15188.38</v>
      </c>
      <c r="F90" s="2">
        <v>17428.650000000001</v>
      </c>
      <c r="G90" s="2">
        <v>12227.46</v>
      </c>
      <c r="H90" s="2">
        <v>10487.77</v>
      </c>
      <c r="I90" s="2">
        <v>10532.33</v>
      </c>
      <c r="J90" s="2">
        <v>12885.44</v>
      </c>
      <c r="K90" s="2">
        <v>10781.13</v>
      </c>
      <c r="L90" s="2">
        <v>17306.29</v>
      </c>
      <c r="M90" s="2">
        <v>9464.92</v>
      </c>
      <c r="N90" s="2">
        <v>15406.93</v>
      </c>
      <c r="O90" s="2">
        <v>19334.830000000002</v>
      </c>
      <c r="P90" s="2">
        <v>9069.91</v>
      </c>
      <c r="Q90" s="2">
        <v>16919.86</v>
      </c>
      <c r="R90" s="2">
        <v>13817.87</v>
      </c>
      <c r="S90" s="2">
        <v>16380.93</v>
      </c>
      <c r="T90" s="2">
        <v>14326.91</v>
      </c>
      <c r="U90" s="2">
        <v>16028.26</v>
      </c>
      <c r="V90" s="2">
        <v>18269.93</v>
      </c>
      <c r="X90" s="2">
        <f t="shared" si="12"/>
        <v>12886.458571428573</v>
      </c>
      <c r="Y90" s="2">
        <f t="shared" si="13"/>
        <v>13673.124285714288</v>
      </c>
      <c r="Z90" s="2">
        <f t="shared" si="14"/>
        <v>14973.381428571427</v>
      </c>
      <c r="AB90" s="2">
        <f t="shared" si="15"/>
        <v>1.0610459196314714</v>
      </c>
      <c r="AD90" s="2">
        <f t="shared" si="16"/>
        <v>1.1619469651475782</v>
      </c>
      <c r="AF90" s="2">
        <f t="shared" si="17"/>
        <v>1.0950958329410967</v>
      </c>
    </row>
    <row r="91" spans="1:32" x14ac:dyDescent="0.5">
      <c r="A91" s="2" t="s">
        <v>117</v>
      </c>
      <c r="B91" s="2">
        <v>76.959999999999994</v>
      </c>
      <c r="C91" s="2">
        <v>44.27</v>
      </c>
      <c r="D91" s="2">
        <v>9.35</v>
      </c>
      <c r="E91" s="2">
        <v>20.75</v>
      </c>
      <c r="F91" s="2">
        <v>18.850000000000001</v>
      </c>
      <c r="G91" s="2">
        <v>10.83</v>
      </c>
      <c r="H91" s="2">
        <v>15.39</v>
      </c>
      <c r="I91" s="2">
        <v>30.82</v>
      </c>
      <c r="J91" s="2">
        <v>31.9</v>
      </c>
      <c r="K91" s="2">
        <v>27.11</v>
      </c>
      <c r="L91" s="2">
        <v>29.64</v>
      </c>
      <c r="M91" s="2">
        <v>46.72</v>
      </c>
      <c r="N91" s="2">
        <v>32.46</v>
      </c>
      <c r="O91" s="2">
        <v>81.793750000000003</v>
      </c>
      <c r="P91" s="2">
        <v>68.42</v>
      </c>
      <c r="Q91" s="2">
        <v>27.44</v>
      </c>
      <c r="R91" s="2">
        <v>13.76</v>
      </c>
      <c r="S91" s="2">
        <v>25.18</v>
      </c>
      <c r="T91" s="2">
        <v>40.51</v>
      </c>
      <c r="U91" s="2">
        <v>36.409999999999997</v>
      </c>
      <c r="V91" s="2">
        <v>13.36</v>
      </c>
      <c r="X91" s="2">
        <f t="shared" si="12"/>
        <v>28.057142857142853</v>
      </c>
      <c r="Y91" s="2">
        <f t="shared" si="13"/>
        <v>40.063392857142858</v>
      </c>
      <c r="Z91" s="2">
        <f t="shared" si="14"/>
        <v>32.154285714285713</v>
      </c>
      <c r="AB91" s="2">
        <f t="shared" si="15"/>
        <v>1.4279213340122201</v>
      </c>
      <c r="AD91" s="2">
        <f t="shared" si="16"/>
        <v>1.1460285132382892</v>
      </c>
      <c r="AF91" s="2">
        <f t="shared" si="17"/>
        <v>0.8025851886519132</v>
      </c>
    </row>
    <row r="92" spans="1:32" x14ac:dyDescent="0.5">
      <c r="A92" s="2" t="s">
        <v>118</v>
      </c>
      <c r="B92" s="2">
        <v>20988.41</v>
      </c>
      <c r="C92" s="2">
        <v>18262.43</v>
      </c>
      <c r="D92" s="2">
        <v>15498.28</v>
      </c>
      <c r="E92" s="2">
        <v>16045.37</v>
      </c>
      <c r="F92" s="2">
        <v>14228.18</v>
      </c>
      <c r="G92" s="2">
        <v>12741.22</v>
      </c>
      <c r="H92" s="2">
        <v>17776.810000000001</v>
      </c>
      <c r="I92" s="2">
        <v>19501.25</v>
      </c>
      <c r="J92" s="2">
        <v>18937.22</v>
      </c>
      <c r="K92" s="2">
        <v>14489.34</v>
      </c>
      <c r="L92" s="2">
        <v>20946.02</v>
      </c>
      <c r="M92" s="2">
        <v>14170.09</v>
      </c>
      <c r="N92" s="2">
        <v>18829.27</v>
      </c>
      <c r="O92" s="2">
        <v>17669.03</v>
      </c>
      <c r="P92" s="2">
        <v>21196.68</v>
      </c>
      <c r="Q92" s="2">
        <v>24832.838749999999</v>
      </c>
      <c r="R92" s="2">
        <v>16478.259999999998</v>
      </c>
      <c r="S92" s="2">
        <v>18581.759999999998</v>
      </c>
      <c r="T92" s="2">
        <v>17844.66</v>
      </c>
      <c r="U92" s="2">
        <v>18602.349999999999</v>
      </c>
      <c r="V92" s="2">
        <v>14664.09</v>
      </c>
      <c r="X92" s="2">
        <f t="shared" si="12"/>
        <v>16505.814285714285</v>
      </c>
      <c r="Y92" s="2">
        <f t="shared" si="13"/>
        <v>17791.745714285713</v>
      </c>
      <c r="Z92" s="2">
        <f t="shared" si="14"/>
        <v>18885.805535714284</v>
      </c>
      <c r="AB92" s="2">
        <f t="shared" si="15"/>
        <v>1.0779077848758056</v>
      </c>
      <c r="AD92" s="2">
        <f t="shared" si="16"/>
        <v>1.1441910837479778</v>
      </c>
      <c r="AF92" s="2">
        <f t="shared" si="17"/>
        <v>1.0614925504780628</v>
      </c>
    </row>
    <row r="93" spans="1:32" x14ac:dyDescent="0.5">
      <c r="A93" s="2" t="s">
        <v>119</v>
      </c>
      <c r="B93" s="2">
        <v>451.37</v>
      </c>
      <c r="C93" s="2">
        <v>803.45</v>
      </c>
      <c r="D93" s="2">
        <v>382.72</v>
      </c>
      <c r="E93" s="2">
        <v>569.01</v>
      </c>
      <c r="F93" s="2">
        <v>927.87</v>
      </c>
      <c r="G93" s="2">
        <v>321.27999999999997</v>
      </c>
      <c r="H93" s="2">
        <v>570.59</v>
      </c>
      <c r="I93" s="2">
        <v>290.12</v>
      </c>
      <c r="J93" s="2">
        <v>1207.1099999999999</v>
      </c>
      <c r="K93" s="2">
        <v>493.59</v>
      </c>
      <c r="L93" s="2">
        <v>649.57000000000005</v>
      </c>
      <c r="M93" s="2">
        <v>452.54</v>
      </c>
      <c r="N93" s="2">
        <v>837.57</v>
      </c>
      <c r="O93" s="2">
        <v>981.74</v>
      </c>
      <c r="P93" s="2">
        <v>838.66</v>
      </c>
      <c r="Q93" s="2">
        <v>685.85</v>
      </c>
      <c r="R93" s="2">
        <v>485.43</v>
      </c>
      <c r="S93" s="2">
        <v>738.47</v>
      </c>
      <c r="T93" s="2">
        <v>483.14</v>
      </c>
      <c r="U93" s="2">
        <v>549.33000000000004</v>
      </c>
      <c r="V93" s="2">
        <v>810.73</v>
      </c>
      <c r="X93" s="2">
        <f t="shared" si="12"/>
        <v>575.18428571428569</v>
      </c>
      <c r="Y93" s="2">
        <f t="shared" si="13"/>
        <v>701.74857142857138</v>
      </c>
      <c r="Z93" s="2">
        <f t="shared" si="14"/>
        <v>655.94428571428568</v>
      </c>
      <c r="AB93" s="2">
        <f t="shared" si="15"/>
        <v>1.2200412786957719</v>
      </c>
      <c r="AD93" s="2">
        <f t="shared" si="16"/>
        <v>1.1404071738498718</v>
      </c>
      <c r="AF93" s="2">
        <f t="shared" si="17"/>
        <v>0.93472835203491689</v>
      </c>
    </row>
    <row r="94" spans="1:32" x14ac:dyDescent="0.5">
      <c r="A94" s="2" t="s">
        <v>120</v>
      </c>
      <c r="B94" s="2">
        <v>12877.3</v>
      </c>
      <c r="C94" s="2">
        <v>8583.35</v>
      </c>
      <c r="D94" s="2">
        <v>7065.52</v>
      </c>
      <c r="E94" s="2">
        <v>4004.86</v>
      </c>
      <c r="F94" s="2">
        <v>9181.36</v>
      </c>
      <c r="G94" s="2">
        <v>5417.71</v>
      </c>
      <c r="H94" s="2">
        <v>4328.6000000000004</v>
      </c>
      <c r="I94" s="2">
        <v>4000</v>
      </c>
      <c r="J94" s="2">
        <v>9582.19</v>
      </c>
      <c r="K94" s="2">
        <v>5559.24</v>
      </c>
      <c r="L94" s="2">
        <v>14285.78</v>
      </c>
      <c r="M94" s="2">
        <v>8300.7099999999991</v>
      </c>
      <c r="N94" s="2">
        <v>11244.22</v>
      </c>
      <c r="O94" s="2">
        <v>19074.53</v>
      </c>
      <c r="P94" s="2">
        <v>8289.41</v>
      </c>
      <c r="Q94" s="2">
        <v>8975.64</v>
      </c>
      <c r="R94" s="2">
        <v>5073.63</v>
      </c>
      <c r="S94" s="2">
        <v>12388.41</v>
      </c>
      <c r="T94" s="2">
        <v>10993.36</v>
      </c>
      <c r="U94" s="2">
        <v>4012.67</v>
      </c>
      <c r="V94" s="2">
        <v>8510.67</v>
      </c>
      <c r="X94" s="2">
        <f t="shared" si="12"/>
        <v>7351.2428571428563</v>
      </c>
      <c r="Y94" s="2">
        <f t="shared" si="13"/>
        <v>10292.381428571429</v>
      </c>
      <c r="Z94" s="2">
        <f t="shared" si="14"/>
        <v>8320.5414285714269</v>
      </c>
      <c r="AB94" s="2">
        <f t="shared" si="15"/>
        <v>1.4000872544389968</v>
      </c>
      <c r="AD94" s="2">
        <f t="shared" si="16"/>
        <v>1.1318550604659658</v>
      </c>
      <c r="AF94" s="2">
        <f t="shared" si="17"/>
        <v>0.80841751603509204</v>
      </c>
    </row>
    <row r="95" spans="1:32" x14ac:dyDescent="0.5">
      <c r="A95" s="2" t="s">
        <v>121</v>
      </c>
      <c r="B95" s="2">
        <v>55786.71</v>
      </c>
      <c r="C95" s="2">
        <v>62174.1</v>
      </c>
      <c r="D95" s="2">
        <v>62091.98</v>
      </c>
      <c r="E95" s="2">
        <v>30523.33625</v>
      </c>
      <c r="F95" s="2">
        <v>61495</v>
      </c>
      <c r="G95" s="2">
        <v>49101.82</v>
      </c>
      <c r="H95" s="2">
        <v>58322.68</v>
      </c>
      <c r="I95" s="2">
        <v>49590.3</v>
      </c>
      <c r="J95" s="2">
        <v>50347.76</v>
      </c>
      <c r="K95" s="2">
        <v>66880.69</v>
      </c>
      <c r="L95" s="2">
        <v>63824.84</v>
      </c>
      <c r="M95" s="2">
        <v>58826.06</v>
      </c>
      <c r="N95" s="2">
        <v>69260.19</v>
      </c>
      <c r="O95" s="2">
        <v>69831.58</v>
      </c>
      <c r="P95" s="2">
        <v>58444.83</v>
      </c>
      <c r="Q95" s="2">
        <v>55666</v>
      </c>
      <c r="R95" s="2">
        <v>80325.179999999993</v>
      </c>
      <c r="S95" s="2">
        <v>64703.28</v>
      </c>
      <c r="T95" s="2">
        <v>48454.71</v>
      </c>
      <c r="U95" s="2">
        <v>65391.18</v>
      </c>
      <c r="V95" s="2">
        <v>56132.14</v>
      </c>
      <c r="X95" s="2">
        <f t="shared" si="12"/>
        <v>54213.660892857137</v>
      </c>
      <c r="Y95" s="2">
        <f t="shared" si="13"/>
        <v>61223.060000000005</v>
      </c>
      <c r="Z95" s="2">
        <f t="shared" si="14"/>
        <v>61302.474285714285</v>
      </c>
      <c r="AB95" s="2">
        <f t="shared" si="15"/>
        <v>1.1292921192131924</v>
      </c>
      <c r="AD95" s="2">
        <f t="shared" si="16"/>
        <v>1.1307569582298975</v>
      </c>
      <c r="AF95" s="2">
        <f t="shared" si="17"/>
        <v>1.0012971302923159</v>
      </c>
    </row>
    <row r="96" spans="1:32" x14ac:dyDescent="0.5">
      <c r="A96" s="2" t="s">
        <v>122</v>
      </c>
      <c r="B96" s="2">
        <v>208.49</v>
      </c>
      <c r="C96" s="2">
        <v>205.07</v>
      </c>
      <c r="D96" s="2">
        <v>277.02</v>
      </c>
      <c r="E96" s="2">
        <v>387.23</v>
      </c>
      <c r="F96" s="2">
        <v>499.39</v>
      </c>
      <c r="G96" s="2">
        <v>280.60000000000002</v>
      </c>
      <c r="H96" s="2">
        <v>249.82</v>
      </c>
      <c r="I96" s="2">
        <v>91.37</v>
      </c>
      <c r="J96" s="2">
        <v>130.07</v>
      </c>
      <c r="K96" s="2">
        <v>145.72999999999999</v>
      </c>
      <c r="L96" s="2">
        <v>428.65</v>
      </c>
      <c r="M96" s="2">
        <v>171.79</v>
      </c>
      <c r="N96" s="2">
        <v>376.23</v>
      </c>
      <c r="O96" s="2">
        <v>683.94</v>
      </c>
      <c r="P96" s="2">
        <v>225.49</v>
      </c>
      <c r="Q96" s="2">
        <v>380.34</v>
      </c>
      <c r="R96" s="2">
        <v>281.85000000000002</v>
      </c>
      <c r="S96" s="2">
        <v>410.7</v>
      </c>
      <c r="T96" s="2">
        <v>383.93</v>
      </c>
      <c r="U96" s="2">
        <v>187.64</v>
      </c>
      <c r="V96" s="2">
        <v>500.4</v>
      </c>
      <c r="X96" s="2">
        <f t="shared" si="12"/>
        <v>301.08857142857141</v>
      </c>
      <c r="Y96" s="2">
        <f t="shared" si="13"/>
        <v>289.68285714285713</v>
      </c>
      <c r="Z96" s="2">
        <f t="shared" si="14"/>
        <v>338.62142857142857</v>
      </c>
      <c r="AB96" s="2">
        <f t="shared" si="15"/>
        <v>0.96211840844174945</v>
      </c>
      <c r="AD96" s="2">
        <f t="shared" si="16"/>
        <v>1.1246571962687772</v>
      </c>
      <c r="AF96" s="2">
        <f t="shared" si="17"/>
        <v>1.1689384449989644</v>
      </c>
    </row>
    <row r="97" spans="1:32" x14ac:dyDescent="0.5">
      <c r="A97" s="2" t="s">
        <v>123</v>
      </c>
      <c r="B97" s="2">
        <v>843.28</v>
      </c>
      <c r="C97" s="2">
        <v>691.99</v>
      </c>
      <c r="D97" s="2">
        <v>1365.66</v>
      </c>
      <c r="E97" s="2">
        <v>460.83</v>
      </c>
      <c r="F97" s="2">
        <v>937.86</v>
      </c>
      <c r="G97" s="2">
        <v>603.79999999999995</v>
      </c>
      <c r="H97" s="2">
        <v>1572.89</v>
      </c>
      <c r="I97" s="2">
        <v>1119.67</v>
      </c>
      <c r="J97" s="2">
        <v>890.81</v>
      </c>
      <c r="K97" s="2">
        <v>507.57</v>
      </c>
      <c r="L97" s="2">
        <v>1109.6400000000001</v>
      </c>
      <c r="M97" s="2">
        <v>724.54</v>
      </c>
      <c r="N97" s="2">
        <v>1477.34</v>
      </c>
      <c r="O97" s="2">
        <v>1853.35</v>
      </c>
      <c r="P97" s="2">
        <v>840.24</v>
      </c>
      <c r="Q97" s="2">
        <v>1184.98</v>
      </c>
      <c r="R97" s="2">
        <v>724.29</v>
      </c>
      <c r="S97" s="2">
        <v>1116.3699999999999</v>
      </c>
      <c r="T97" s="2">
        <v>1782.6</v>
      </c>
      <c r="U97" s="2">
        <v>411.88</v>
      </c>
      <c r="V97" s="2">
        <v>1123.8599999999999</v>
      </c>
      <c r="X97" s="2">
        <f t="shared" si="12"/>
        <v>925.18714285714293</v>
      </c>
      <c r="Y97" s="2">
        <f t="shared" si="13"/>
        <v>1097.56</v>
      </c>
      <c r="Z97" s="2">
        <f t="shared" si="14"/>
        <v>1026.3171428571427</v>
      </c>
      <c r="AB97" s="2">
        <f t="shared" si="15"/>
        <v>1.1863113408715764</v>
      </c>
      <c r="AD97" s="2">
        <f t="shared" si="16"/>
        <v>1.1093076149844585</v>
      </c>
      <c r="AF97" s="2">
        <f t="shared" si="17"/>
        <v>0.935089783571871</v>
      </c>
    </row>
    <row r="98" spans="1:32" x14ac:dyDescent="0.5">
      <c r="A98" s="2" t="s">
        <v>124</v>
      </c>
      <c r="B98" s="2">
        <v>20386.759999999998</v>
      </c>
      <c r="C98" s="2">
        <v>21625.14</v>
      </c>
      <c r="D98" s="2">
        <v>18944.939999999999</v>
      </c>
      <c r="E98" s="2">
        <v>21411.37</v>
      </c>
      <c r="F98" s="2">
        <v>22277.05</v>
      </c>
      <c r="G98" s="2">
        <v>15667.635</v>
      </c>
      <c r="H98" s="2">
        <v>17439.36</v>
      </c>
      <c r="I98" s="2">
        <v>20958.759999999998</v>
      </c>
      <c r="J98" s="2">
        <v>18866.22</v>
      </c>
      <c r="K98" s="2">
        <v>21676.16</v>
      </c>
      <c r="L98" s="2">
        <v>25022.19</v>
      </c>
      <c r="M98" s="2">
        <v>21693.16</v>
      </c>
      <c r="N98" s="2">
        <v>25153.18</v>
      </c>
      <c r="O98" s="2">
        <v>20692.759999999998</v>
      </c>
      <c r="P98" s="2">
        <v>21922.21</v>
      </c>
      <c r="Q98" s="2">
        <v>25400.095000000001</v>
      </c>
      <c r="R98" s="2">
        <v>20295.650000000001</v>
      </c>
      <c r="S98" s="2">
        <v>23090.83</v>
      </c>
      <c r="T98" s="2">
        <v>19774.78</v>
      </c>
      <c r="U98" s="2">
        <v>19441.43</v>
      </c>
      <c r="V98" s="2">
        <v>19603.03</v>
      </c>
      <c r="X98" s="2">
        <f t="shared" ref="X98:X119" si="18">AVERAGE(B98:H98)</f>
        <v>19678.893571428573</v>
      </c>
      <c r="Y98" s="2">
        <f t="shared" ref="Y98:Y119" si="19">AVERAGE(I98:O98)</f>
        <v>22008.918571428574</v>
      </c>
      <c r="Z98" s="2">
        <f t="shared" ref="Z98:Z119" si="20">AVERAGE(P98:V98)</f>
        <v>21361.146428571428</v>
      </c>
      <c r="AB98" s="2">
        <f t="shared" ref="AB98:AB119" si="21">Y98/X98</f>
        <v>1.1184022359561374</v>
      </c>
      <c r="AD98" s="2">
        <f t="shared" ref="AD98:AD119" si="22">Z98/X98</f>
        <v>1.0854851341635023</v>
      </c>
      <c r="AF98" s="2">
        <f t="shared" ref="AF98:AF119" si="23">Z98/Y98</f>
        <v>0.97056774321942074</v>
      </c>
    </row>
    <row r="99" spans="1:32" x14ac:dyDescent="0.5">
      <c r="A99" s="2" t="s">
        <v>125</v>
      </c>
      <c r="B99" s="2">
        <v>137.19999999999999</v>
      </c>
      <c r="C99" s="2">
        <v>166.61</v>
      </c>
      <c r="D99" s="2">
        <v>319.02</v>
      </c>
      <c r="E99" s="2">
        <v>121.12</v>
      </c>
      <c r="F99" s="2">
        <v>221.38</v>
      </c>
      <c r="G99" s="2">
        <v>105.52</v>
      </c>
      <c r="H99" s="2">
        <v>92.58</v>
      </c>
      <c r="I99" s="2">
        <v>72.52</v>
      </c>
      <c r="J99" s="2">
        <v>112.62</v>
      </c>
      <c r="K99" s="2">
        <v>147.08000000000001</v>
      </c>
      <c r="L99" s="2">
        <v>227.66</v>
      </c>
      <c r="M99" s="2">
        <v>169.57</v>
      </c>
      <c r="N99" s="2">
        <v>204.94</v>
      </c>
      <c r="O99" s="2">
        <v>347.71375</v>
      </c>
      <c r="P99" s="2">
        <v>148.1</v>
      </c>
      <c r="Q99" s="2">
        <v>206.85</v>
      </c>
      <c r="R99" s="2">
        <v>189.09</v>
      </c>
      <c r="S99" s="2">
        <v>242.11</v>
      </c>
      <c r="T99" s="2">
        <v>198.4</v>
      </c>
      <c r="U99" s="2">
        <v>85.58</v>
      </c>
      <c r="V99" s="2">
        <v>187.21</v>
      </c>
      <c r="X99" s="2">
        <f t="shared" si="18"/>
        <v>166.2042857142857</v>
      </c>
      <c r="Y99" s="2">
        <f t="shared" si="19"/>
        <v>183.15767857142859</v>
      </c>
      <c r="Z99" s="2">
        <f t="shared" si="20"/>
        <v>179.61999999999998</v>
      </c>
      <c r="AB99" s="2">
        <f t="shared" si="21"/>
        <v>1.10200334356171</v>
      </c>
      <c r="AD99" s="2">
        <f t="shared" si="22"/>
        <v>1.080718221122027</v>
      </c>
      <c r="AF99" s="2">
        <f t="shared" si="23"/>
        <v>0.98068506546369572</v>
      </c>
    </row>
    <row r="100" spans="1:32" x14ac:dyDescent="0.5">
      <c r="A100" s="2" t="s">
        <v>126</v>
      </c>
      <c r="B100" s="2">
        <v>97425.279999999999</v>
      </c>
      <c r="C100" s="2">
        <v>97935.64</v>
      </c>
      <c r="D100" s="2">
        <v>100512.16</v>
      </c>
      <c r="E100" s="2">
        <v>94765.18</v>
      </c>
      <c r="F100" s="2">
        <v>98605.85</v>
      </c>
      <c r="G100" s="2">
        <v>83155.136249999996</v>
      </c>
      <c r="H100" s="2">
        <v>84047.98</v>
      </c>
      <c r="I100" s="2">
        <v>100236.75</v>
      </c>
      <c r="J100" s="2">
        <v>96932.65</v>
      </c>
      <c r="K100" s="2">
        <v>92285.31</v>
      </c>
      <c r="L100" s="2">
        <v>98651.32</v>
      </c>
      <c r="M100" s="2">
        <v>99297.57</v>
      </c>
      <c r="N100" s="2">
        <v>103237.37</v>
      </c>
      <c r="O100" s="2">
        <v>112462.00625000001</v>
      </c>
      <c r="P100" s="2">
        <v>109105.28</v>
      </c>
      <c r="Q100" s="2">
        <v>112462.00625000001</v>
      </c>
      <c r="R100" s="2">
        <v>100883.45</v>
      </c>
      <c r="S100" s="2">
        <v>103379.43</v>
      </c>
      <c r="T100" s="2">
        <v>98865.53</v>
      </c>
      <c r="U100" s="2">
        <v>99408.51</v>
      </c>
      <c r="V100" s="2">
        <v>83155.136249999996</v>
      </c>
      <c r="X100" s="2">
        <f t="shared" si="18"/>
        <v>93778.175178571415</v>
      </c>
      <c r="Y100" s="2">
        <f t="shared" si="19"/>
        <v>100443.28232142856</v>
      </c>
      <c r="Z100" s="2">
        <f t="shared" si="20"/>
        <v>101037.04892857143</v>
      </c>
      <c r="AB100" s="2">
        <f t="shared" si="21"/>
        <v>1.0710731162145726</v>
      </c>
      <c r="AD100" s="2">
        <f t="shared" si="22"/>
        <v>1.0774047238195641</v>
      </c>
      <c r="AF100" s="2">
        <f t="shared" si="23"/>
        <v>1.005911461607186</v>
      </c>
    </row>
    <row r="101" spans="1:32" x14ac:dyDescent="0.5">
      <c r="A101" s="2" t="s">
        <v>127</v>
      </c>
      <c r="B101" s="2">
        <v>376.38</v>
      </c>
      <c r="C101" s="2">
        <v>735</v>
      </c>
      <c r="D101" s="2">
        <v>341.4</v>
      </c>
      <c r="E101" s="2">
        <v>261.06</v>
      </c>
      <c r="F101" s="2">
        <v>535.84</v>
      </c>
      <c r="G101" s="2">
        <v>189.79</v>
      </c>
      <c r="H101" s="2">
        <v>387.97</v>
      </c>
      <c r="I101" s="2">
        <v>275.77</v>
      </c>
      <c r="J101" s="2">
        <v>323.68</v>
      </c>
      <c r="K101" s="2">
        <v>274.73</v>
      </c>
      <c r="L101" s="2">
        <v>708.62</v>
      </c>
      <c r="M101" s="2">
        <v>1147.8162500000001</v>
      </c>
      <c r="N101" s="2">
        <v>626.41</v>
      </c>
      <c r="O101" s="2">
        <v>1147.8162500000001</v>
      </c>
      <c r="P101" s="2">
        <v>410.94</v>
      </c>
      <c r="Q101" s="2">
        <v>644.72</v>
      </c>
      <c r="R101" s="2">
        <v>289.99</v>
      </c>
      <c r="S101" s="2">
        <v>555.08000000000004</v>
      </c>
      <c r="T101" s="2">
        <v>376.88</v>
      </c>
      <c r="U101" s="2">
        <v>192.29</v>
      </c>
      <c r="V101" s="2">
        <v>575.84</v>
      </c>
      <c r="X101" s="2">
        <f t="shared" si="18"/>
        <v>403.92000000000007</v>
      </c>
      <c r="Y101" s="2">
        <f t="shared" si="19"/>
        <v>643.54892857142852</v>
      </c>
      <c r="Z101" s="2">
        <f t="shared" si="20"/>
        <v>435.10571428571433</v>
      </c>
      <c r="AB101" s="2">
        <f t="shared" si="21"/>
        <v>1.5932583892142711</v>
      </c>
      <c r="AD101" s="2">
        <f t="shared" si="22"/>
        <v>1.0772076507370625</v>
      </c>
      <c r="AF101" s="2">
        <f t="shared" si="23"/>
        <v>0.67610354857023314</v>
      </c>
    </row>
    <row r="102" spans="1:32" x14ac:dyDescent="0.5">
      <c r="A102" s="2" t="s">
        <v>128</v>
      </c>
      <c r="B102" s="2">
        <v>219.29</v>
      </c>
      <c r="C102" s="2">
        <v>380.41</v>
      </c>
      <c r="D102" s="2">
        <v>215.32</v>
      </c>
      <c r="E102" s="2">
        <v>159.61000000000001</v>
      </c>
      <c r="F102" s="2">
        <v>1101.02</v>
      </c>
      <c r="G102" s="2">
        <v>545.85</v>
      </c>
      <c r="H102" s="2">
        <v>230.75</v>
      </c>
      <c r="I102" s="2">
        <v>163.01</v>
      </c>
      <c r="J102" s="2">
        <v>363</v>
      </c>
      <c r="K102" s="2">
        <v>370.24</v>
      </c>
      <c r="L102" s="2">
        <v>690.24</v>
      </c>
      <c r="M102" s="2">
        <v>486.47</v>
      </c>
      <c r="N102" s="2">
        <v>537.59</v>
      </c>
      <c r="O102" s="2">
        <v>853.71</v>
      </c>
      <c r="P102" s="2">
        <v>267.66000000000003</v>
      </c>
      <c r="Q102" s="2">
        <v>318.44</v>
      </c>
      <c r="R102" s="2">
        <v>173.56</v>
      </c>
      <c r="S102" s="2">
        <v>765.16</v>
      </c>
      <c r="T102" s="2">
        <v>685.41</v>
      </c>
      <c r="U102" s="2">
        <v>314.27999999999997</v>
      </c>
      <c r="V102" s="2">
        <v>497.07</v>
      </c>
      <c r="X102" s="2">
        <f t="shared" si="18"/>
        <v>407.46428571428572</v>
      </c>
      <c r="Y102" s="2">
        <f t="shared" si="19"/>
        <v>494.89428571428573</v>
      </c>
      <c r="Z102" s="2">
        <f t="shared" si="20"/>
        <v>431.65428571428578</v>
      </c>
      <c r="AB102" s="2">
        <f t="shared" si="21"/>
        <v>1.2145709527565958</v>
      </c>
      <c r="AD102" s="2">
        <f t="shared" si="22"/>
        <v>1.0593671662722413</v>
      </c>
      <c r="AF102" s="2">
        <f t="shared" si="23"/>
        <v>0.87221513396800476</v>
      </c>
    </row>
    <row r="103" spans="1:32" x14ac:dyDescent="0.5">
      <c r="A103" s="2" t="s">
        <v>129</v>
      </c>
      <c r="B103" s="2">
        <v>203.46</v>
      </c>
      <c r="C103" s="2">
        <v>222.16</v>
      </c>
      <c r="D103" s="2">
        <v>22.48</v>
      </c>
      <c r="E103" s="2">
        <v>24.14</v>
      </c>
      <c r="F103" s="2">
        <v>46.17</v>
      </c>
      <c r="G103" s="2">
        <v>22.89</v>
      </c>
      <c r="H103" s="2">
        <v>48.71</v>
      </c>
      <c r="I103" s="2">
        <v>49.32</v>
      </c>
      <c r="J103" s="2">
        <v>118.32</v>
      </c>
      <c r="K103" s="2">
        <v>123.68</v>
      </c>
      <c r="L103" s="2">
        <v>89.67</v>
      </c>
      <c r="M103" s="2">
        <v>78.3</v>
      </c>
      <c r="N103" s="2">
        <v>104.55</v>
      </c>
      <c r="O103" s="2">
        <v>277.89375000000001</v>
      </c>
      <c r="P103" s="2">
        <v>219.41</v>
      </c>
      <c r="Q103" s="2">
        <v>97.45</v>
      </c>
      <c r="R103" s="2">
        <v>71.150000000000006</v>
      </c>
      <c r="S103" s="2">
        <v>2.2480000000000002</v>
      </c>
      <c r="T103" s="2">
        <v>79.28</v>
      </c>
      <c r="U103" s="2">
        <v>43.04</v>
      </c>
      <c r="V103" s="2">
        <v>111.19</v>
      </c>
      <c r="X103" s="2">
        <f t="shared" si="18"/>
        <v>84.287142857142854</v>
      </c>
      <c r="Y103" s="2">
        <f t="shared" si="19"/>
        <v>120.24767857142858</v>
      </c>
      <c r="Z103" s="2">
        <f t="shared" si="20"/>
        <v>89.10971428571429</v>
      </c>
      <c r="AB103" s="2">
        <f t="shared" si="21"/>
        <v>1.426643192488263</v>
      </c>
      <c r="AD103" s="2">
        <f t="shared" si="22"/>
        <v>1.0572159793901799</v>
      </c>
      <c r="AF103" s="2">
        <f t="shared" si="23"/>
        <v>0.74105143104930749</v>
      </c>
    </row>
    <row r="104" spans="1:32" x14ac:dyDescent="0.5">
      <c r="A104" s="2" t="s">
        <v>130</v>
      </c>
      <c r="B104" s="2">
        <v>64905.64</v>
      </c>
      <c r="C104" s="2">
        <v>69631.210000000006</v>
      </c>
      <c r="D104" s="2">
        <v>76575.28</v>
      </c>
      <c r="E104" s="2">
        <v>74353.77</v>
      </c>
      <c r="F104" s="2">
        <v>58247.45</v>
      </c>
      <c r="G104" s="2">
        <v>62425.18</v>
      </c>
      <c r="H104" s="2">
        <v>62916.22</v>
      </c>
      <c r="I104" s="2">
        <v>41929.269999999997</v>
      </c>
      <c r="J104" s="2">
        <v>63963.53</v>
      </c>
      <c r="K104" s="2">
        <v>43659.63</v>
      </c>
      <c r="L104" s="2">
        <v>79416.97</v>
      </c>
      <c r="M104" s="2">
        <v>87070.33</v>
      </c>
      <c r="N104" s="2">
        <v>72179.360000000001</v>
      </c>
      <c r="O104" s="2">
        <v>59123.8</v>
      </c>
      <c r="P104" s="2">
        <v>63036.32</v>
      </c>
      <c r="Q104" s="2">
        <v>65384.03</v>
      </c>
      <c r="R104" s="2">
        <v>75796.36</v>
      </c>
      <c r="S104" s="2">
        <v>49696.2</v>
      </c>
      <c r="T104" s="2">
        <v>67399.37</v>
      </c>
      <c r="U104" s="2">
        <v>83834.880000000005</v>
      </c>
      <c r="V104" s="2">
        <v>66959.67</v>
      </c>
      <c r="X104" s="2">
        <f t="shared" si="18"/>
        <v>67007.821428571435</v>
      </c>
      <c r="Y104" s="2">
        <f t="shared" si="19"/>
        <v>63906.127142857134</v>
      </c>
      <c r="Z104" s="2">
        <f t="shared" si="20"/>
        <v>67443.832857142857</v>
      </c>
      <c r="AB104" s="2">
        <f t="shared" si="21"/>
        <v>0.9537114590567517</v>
      </c>
      <c r="AD104" s="2">
        <f t="shared" si="22"/>
        <v>1.0065068736645348</v>
      </c>
      <c r="AF104" s="2">
        <f t="shared" si="23"/>
        <v>1.055357848651624</v>
      </c>
    </row>
    <row r="105" spans="1:32" x14ac:dyDescent="0.5">
      <c r="A105" s="2" t="s">
        <v>131</v>
      </c>
      <c r="B105" s="2">
        <v>8698.56</v>
      </c>
      <c r="C105" s="2">
        <v>9627.77</v>
      </c>
      <c r="D105" s="2">
        <v>8936.59</v>
      </c>
      <c r="E105" s="2">
        <v>7962.18</v>
      </c>
      <c r="F105" s="2">
        <v>9684.1299999999992</v>
      </c>
      <c r="G105" s="2">
        <v>6831.0275000000001</v>
      </c>
      <c r="H105" s="2">
        <v>8765.41</v>
      </c>
      <c r="I105" s="2">
        <v>9247.56</v>
      </c>
      <c r="J105" s="2">
        <v>8762.9500000000007</v>
      </c>
      <c r="K105" s="2">
        <v>7873.96</v>
      </c>
      <c r="L105" s="2">
        <v>9655.7099999999991</v>
      </c>
      <c r="M105" s="2">
        <v>9670.64</v>
      </c>
      <c r="N105" s="2">
        <v>9576.83</v>
      </c>
      <c r="O105" s="2">
        <v>9695.82</v>
      </c>
      <c r="P105" s="2">
        <v>9175.06</v>
      </c>
      <c r="Q105" s="2">
        <v>9430.34</v>
      </c>
      <c r="R105" s="2">
        <v>8668.65</v>
      </c>
      <c r="S105" s="2">
        <v>8441.93</v>
      </c>
      <c r="T105" s="2">
        <v>8790.66</v>
      </c>
      <c r="U105" s="2">
        <v>8500.89</v>
      </c>
      <c r="V105" s="2">
        <v>6831.0275000000001</v>
      </c>
      <c r="X105" s="2">
        <f t="shared" si="18"/>
        <v>8643.6667857142875</v>
      </c>
      <c r="Y105" s="2">
        <f t="shared" si="19"/>
        <v>9211.9242857142854</v>
      </c>
      <c r="Z105" s="2">
        <f t="shared" si="20"/>
        <v>8548.3653571428567</v>
      </c>
      <c r="AB105" s="2">
        <f t="shared" si="21"/>
        <v>1.0657426430342245</v>
      </c>
      <c r="AD105" s="2">
        <f t="shared" si="22"/>
        <v>0.98897442128045254</v>
      </c>
      <c r="AF105" s="2">
        <f t="shared" si="23"/>
        <v>0.92796739226347469</v>
      </c>
    </row>
    <row r="106" spans="1:32" x14ac:dyDescent="0.5">
      <c r="A106" s="2" t="s">
        <v>132</v>
      </c>
      <c r="B106" s="2">
        <v>13498.94</v>
      </c>
      <c r="C106" s="2">
        <v>19402.63</v>
      </c>
      <c r="D106" s="2">
        <v>16323.63</v>
      </c>
      <c r="E106" s="2">
        <v>21315.95</v>
      </c>
      <c r="F106" s="2">
        <v>17731.16</v>
      </c>
      <c r="G106" s="2">
        <v>16724.91</v>
      </c>
      <c r="H106" s="2">
        <v>15381.52</v>
      </c>
      <c r="I106" s="2">
        <v>12855.52</v>
      </c>
      <c r="J106" s="2">
        <v>17421.64</v>
      </c>
      <c r="K106" s="2">
        <v>15195.29</v>
      </c>
      <c r="L106" s="2">
        <v>13816.76</v>
      </c>
      <c r="M106" s="2">
        <v>20473.79</v>
      </c>
      <c r="N106" s="2">
        <v>18483.53</v>
      </c>
      <c r="O106" s="2">
        <v>15463.61</v>
      </c>
      <c r="P106" s="2">
        <v>16546.97</v>
      </c>
      <c r="Q106" s="2">
        <v>21475.279999999999</v>
      </c>
      <c r="R106" s="2">
        <v>18815.55</v>
      </c>
      <c r="S106" s="2">
        <v>19588.93</v>
      </c>
      <c r="T106" s="2">
        <v>14678.94</v>
      </c>
      <c r="U106" s="2">
        <v>13554.67</v>
      </c>
      <c r="V106" s="2">
        <v>14101.49</v>
      </c>
      <c r="X106" s="2">
        <f t="shared" si="18"/>
        <v>17196.962857142858</v>
      </c>
      <c r="Y106" s="2">
        <f t="shared" si="19"/>
        <v>16244.305714285714</v>
      </c>
      <c r="Z106" s="2">
        <f t="shared" si="20"/>
        <v>16965.975714285716</v>
      </c>
      <c r="AB106" s="2">
        <f t="shared" si="21"/>
        <v>0.94460317494600787</v>
      </c>
      <c r="AD106" s="2">
        <f t="shared" si="22"/>
        <v>0.98656814317877062</v>
      </c>
      <c r="AF106" s="2">
        <f t="shared" si="23"/>
        <v>1.0444260292002103</v>
      </c>
    </row>
    <row r="107" spans="1:32" x14ac:dyDescent="0.5">
      <c r="A107" s="2" t="s">
        <v>133</v>
      </c>
      <c r="B107" s="2">
        <v>3169.71</v>
      </c>
      <c r="C107" s="2">
        <v>3423.6</v>
      </c>
      <c r="D107" s="2">
        <v>3164.05</v>
      </c>
      <c r="E107" s="2">
        <v>3100.84</v>
      </c>
      <c r="F107" s="2">
        <v>2729.82</v>
      </c>
      <c r="G107" s="2">
        <v>2957.64</v>
      </c>
      <c r="H107" s="2">
        <v>2790.33</v>
      </c>
      <c r="I107" s="2">
        <v>2937.38</v>
      </c>
      <c r="J107" s="2">
        <v>2941.68</v>
      </c>
      <c r="K107" s="2">
        <v>3092.91</v>
      </c>
      <c r="L107" s="2">
        <v>3219.89</v>
      </c>
      <c r="M107" s="2">
        <v>3311.79</v>
      </c>
      <c r="N107" s="2">
        <v>2907.98</v>
      </c>
      <c r="O107" s="2">
        <v>2588.71</v>
      </c>
      <c r="P107" s="2">
        <v>3137.72</v>
      </c>
      <c r="Q107" s="2">
        <v>3207.92</v>
      </c>
      <c r="R107" s="2">
        <v>2931.61</v>
      </c>
      <c r="S107" s="2">
        <v>3005.51</v>
      </c>
      <c r="T107" s="2">
        <v>2691.62</v>
      </c>
      <c r="U107" s="2">
        <v>2902.95</v>
      </c>
      <c r="V107" s="2">
        <v>2438.79</v>
      </c>
      <c r="X107" s="2">
        <f t="shared" si="18"/>
        <v>3047.9985714285713</v>
      </c>
      <c r="Y107" s="2">
        <f t="shared" si="19"/>
        <v>3000.048571428571</v>
      </c>
      <c r="Z107" s="2">
        <f t="shared" si="20"/>
        <v>2902.3028571428576</v>
      </c>
      <c r="AB107" s="2">
        <f t="shared" si="21"/>
        <v>0.98426836533012985</v>
      </c>
      <c r="AD107" s="2">
        <f t="shared" si="22"/>
        <v>0.95219954640023752</v>
      </c>
      <c r="AF107" s="2">
        <f t="shared" si="23"/>
        <v>0.96741862274610824</v>
      </c>
    </row>
    <row r="108" spans="1:32" x14ac:dyDescent="0.5">
      <c r="A108" s="2" t="s">
        <v>134</v>
      </c>
      <c r="B108" s="2">
        <v>1029.55</v>
      </c>
      <c r="C108" s="2">
        <v>362.5</v>
      </c>
      <c r="D108" s="2">
        <v>1057.3499999999999</v>
      </c>
      <c r="E108" s="2">
        <v>545.84</v>
      </c>
      <c r="F108" s="2">
        <v>954.74</v>
      </c>
      <c r="G108" s="2">
        <v>468.15</v>
      </c>
      <c r="H108" s="2">
        <v>219.41</v>
      </c>
      <c r="I108" s="2">
        <v>341.31</v>
      </c>
      <c r="J108" s="2">
        <v>228.47</v>
      </c>
      <c r="K108" s="2">
        <v>322.74</v>
      </c>
      <c r="L108" s="2">
        <v>475.03</v>
      </c>
      <c r="M108" s="2">
        <v>650.98</v>
      </c>
      <c r="N108" s="2">
        <v>835.25</v>
      </c>
      <c r="O108" s="2">
        <v>262.33</v>
      </c>
      <c r="P108" s="2">
        <v>641.45000000000005</v>
      </c>
      <c r="Q108" s="2">
        <v>455.21</v>
      </c>
      <c r="R108" s="2">
        <v>446.66</v>
      </c>
      <c r="S108" s="2">
        <v>819.27</v>
      </c>
      <c r="T108" s="2">
        <v>1308.03</v>
      </c>
      <c r="U108" s="2">
        <v>357.63</v>
      </c>
      <c r="V108" s="2">
        <v>375.35</v>
      </c>
      <c r="X108" s="2">
        <f t="shared" si="18"/>
        <v>662.50571428571413</v>
      </c>
      <c r="Y108" s="2">
        <f t="shared" si="19"/>
        <v>445.15857142857141</v>
      </c>
      <c r="Z108" s="2">
        <f t="shared" si="20"/>
        <v>629.08571428571429</v>
      </c>
      <c r="AB108" s="2">
        <f t="shared" si="21"/>
        <v>0.67193167067022619</v>
      </c>
      <c r="AD108" s="2">
        <f t="shared" si="22"/>
        <v>0.94955515208494179</v>
      </c>
      <c r="AF108" s="2">
        <f t="shared" si="23"/>
        <v>1.41317219225252</v>
      </c>
    </row>
    <row r="109" spans="1:32" x14ac:dyDescent="0.5">
      <c r="A109" s="2" t="s">
        <v>135</v>
      </c>
      <c r="B109" s="2">
        <v>4441.83</v>
      </c>
      <c r="C109" s="2">
        <v>4795.13</v>
      </c>
      <c r="D109" s="2">
        <v>3154.39</v>
      </c>
      <c r="E109" s="2">
        <v>2536.2399999999998</v>
      </c>
      <c r="F109" s="2">
        <v>4340.42</v>
      </c>
      <c r="G109" s="2">
        <v>3698.99</v>
      </c>
      <c r="H109" s="2">
        <v>4035.81</v>
      </c>
      <c r="I109" s="2">
        <v>4268.96</v>
      </c>
      <c r="J109" s="2">
        <v>3971.43</v>
      </c>
      <c r="K109" s="2">
        <v>4697.59</v>
      </c>
      <c r="L109" s="2">
        <v>4609.21</v>
      </c>
      <c r="M109" s="2">
        <v>3907.51</v>
      </c>
      <c r="N109" s="2">
        <v>4024.54</v>
      </c>
      <c r="O109" s="2">
        <v>3205.82</v>
      </c>
      <c r="P109" s="2">
        <v>3595.59</v>
      </c>
      <c r="Q109" s="2">
        <v>3477.16</v>
      </c>
      <c r="R109" s="2">
        <v>2975.74</v>
      </c>
      <c r="S109" s="2">
        <v>4146.8900000000003</v>
      </c>
      <c r="T109" s="2">
        <v>3495.26</v>
      </c>
      <c r="U109" s="2">
        <v>4644.66</v>
      </c>
      <c r="V109" s="2">
        <v>3191.9</v>
      </c>
      <c r="X109" s="2">
        <f t="shared" si="18"/>
        <v>3857.5442857142857</v>
      </c>
      <c r="Y109" s="2">
        <f t="shared" si="19"/>
        <v>4097.8657142857137</v>
      </c>
      <c r="Z109" s="2">
        <f t="shared" si="20"/>
        <v>3646.7428571428572</v>
      </c>
      <c r="AB109" s="2">
        <f t="shared" si="21"/>
        <v>1.0622990718373382</v>
      </c>
      <c r="AD109" s="2">
        <f t="shared" si="22"/>
        <v>0.94535346506530249</v>
      </c>
      <c r="AF109" s="2">
        <f t="shared" si="23"/>
        <v>0.88991272808911692</v>
      </c>
    </row>
    <row r="110" spans="1:32" x14ac:dyDescent="0.5">
      <c r="A110" s="2" t="s">
        <v>136</v>
      </c>
      <c r="B110" s="2">
        <v>3386.28</v>
      </c>
      <c r="C110" s="2">
        <v>3774.01</v>
      </c>
      <c r="D110" s="2">
        <v>3405.56</v>
      </c>
      <c r="E110" s="2">
        <v>3986.1275000000001</v>
      </c>
      <c r="F110" s="2">
        <v>3353.4</v>
      </c>
      <c r="G110" s="2">
        <v>2701.8</v>
      </c>
      <c r="H110" s="2">
        <v>2683.71</v>
      </c>
      <c r="I110" s="2">
        <v>3044.61</v>
      </c>
      <c r="J110" s="2">
        <v>3272.96</v>
      </c>
      <c r="K110" s="2">
        <v>3328.3</v>
      </c>
      <c r="L110" s="2">
        <v>3255.24</v>
      </c>
      <c r="M110" s="2">
        <v>3563.24</v>
      </c>
      <c r="N110" s="2">
        <v>3343.23</v>
      </c>
      <c r="O110" s="2">
        <v>3213.19</v>
      </c>
      <c r="P110" s="2">
        <v>3526.85</v>
      </c>
      <c r="Q110" s="2">
        <v>3283</v>
      </c>
      <c r="R110" s="2">
        <v>3203.43</v>
      </c>
      <c r="S110" s="2">
        <v>3077.2</v>
      </c>
      <c r="T110" s="2">
        <v>2970.7</v>
      </c>
      <c r="U110" s="2">
        <v>3098.12</v>
      </c>
      <c r="V110" s="2">
        <v>2518.8074999999999</v>
      </c>
      <c r="X110" s="2">
        <f t="shared" si="18"/>
        <v>3327.269642857143</v>
      </c>
      <c r="Y110" s="2">
        <f t="shared" si="19"/>
        <v>3288.6814285714281</v>
      </c>
      <c r="Z110" s="2">
        <f t="shared" si="20"/>
        <v>3096.8724999999999</v>
      </c>
      <c r="AB110" s="2">
        <f t="shared" si="21"/>
        <v>0.98840243850733445</v>
      </c>
      <c r="AD110" s="2">
        <f t="shared" si="22"/>
        <v>0.93075489287387603</v>
      </c>
      <c r="AF110" s="2">
        <f t="shared" si="23"/>
        <v>0.94167603863815164</v>
      </c>
    </row>
    <row r="111" spans="1:32" x14ac:dyDescent="0.5">
      <c r="A111" s="2" t="s">
        <v>137</v>
      </c>
      <c r="B111" s="2">
        <v>2450.33925</v>
      </c>
      <c r="C111" s="2">
        <v>4.3780000000000001</v>
      </c>
      <c r="D111" s="2">
        <v>4.3780000000000001</v>
      </c>
      <c r="E111" s="2">
        <v>1187.6400000000001</v>
      </c>
      <c r="F111" s="2">
        <v>4.3780000000000001</v>
      </c>
      <c r="G111" s="2">
        <v>4.3780000000000001</v>
      </c>
      <c r="H111" s="2">
        <v>4.3780000000000001</v>
      </c>
      <c r="I111" s="2">
        <v>4.3780000000000001</v>
      </c>
      <c r="J111" s="2">
        <v>4.3780000000000001</v>
      </c>
      <c r="K111" s="2">
        <v>914.47</v>
      </c>
      <c r="L111" s="2">
        <v>479.8</v>
      </c>
      <c r="M111" s="2">
        <v>223.2</v>
      </c>
      <c r="N111" s="2">
        <v>4.3780000000000001</v>
      </c>
      <c r="O111" s="2">
        <v>2450.33925</v>
      </c>
      <c r="P111" s="2">
        <v>2450.33925</v>
      </c>
      <c r="Q111" s="2">
        <v>756.02</v>
      </c>
      <c r="R111" s="2">
        <v>4.3780000000000001</v>
      </c>
      <c r="S111" s="2">
        <v>43.78</v>
      </c>
      <c r="T111" s="2">
        <v>95.18</v>
      </c>
      <c r="U111" s="2">
        <v>4.3780000000000001</v>
      </c>
      <c r="V111" s="2">
        <v>4.3780000000000001</v>
      </c>
      <c r="X111" s="2">
        <f t="shared" si="18"/>
        <v>522.83846428571439</v>
      </c>
      <c r="Y111" s="2">
        <f t="shared" si="19"/>
        <v>582.99189285714294</v>
      </c>
      <c r="Z111" s="2">
        <f t="shared" si="20"/>
        <v>479.77903571428578</v>
      </c>
      <c r="AB111" s="2">
        <f t="shared" si="21"/>
        <v>1.1150516510938198</v>
      </c>
      <c r="AD111" s="2">
        <f t="shared" si="22"/>
        <v>0.91764295951282948</v>
      </c>
      <c r="AF111" s="2">
        <f t="shared" si="23"/>
        <v>0.82296004728808714</v>
      </c>
    </row>
    <row r="112" spans="1:32" x14ac:dyDescent="0.5">
      <c r="A112" s="2" t="s">
        <v>138</v>
      </c>
      <c r="B112" s="2">
        <v>443.11</v>
      </c>
      <c r="C112" s="2">
        <v>621.1</v>
      </c>
      <c r="D112" s="2">
        <v>243.61</v>
      </c>
      <c r="E112" s="2">
        <v>314.5</v>
      </c>
      <c r="F112" s="2">
        <v>514.26</v>
      </c>
      <c r="G112" s="2">
        <v>276.67</v>
      </c>
      <c r="H112" s="2">
        <v>347.93</v>
      </c>
      <c r="I112" s="2">
        <v>102.81</v>
      </c>
      <c r="J112" s="2">
        <v>189.82</v>
      </c>
      <c r="K112" s="2">
        <v>161.6</v>
      </c>
      <c r="L112" s="2">
        <v>631.67999999999995</v>
      </c>
      <c r="M112" s="2">
        <v>312.70999999999998</v>
      </c>
      <c r="N112" s="2">
        <v>332.82</v>
      </c>
      <c r="O112" s="2">
        <v>374.35</v>
      </c>
      <c r="P112" s="2">
        <v>177.9</v>
      </c>
      <c r="Q112" s="2">
        <v>428.94</v>
      </c>
      <c r="R112" s="2">
        <v>201.45</v>
      </c>
      <c r="S112" s="2">
        <v>187.02</v>
      </c>
      <c r="T112" s="2">
        <v>268.43</v>
      </c>
      <c r="U112" s="2">
        <v>260.74</v>
      </c>
      <c r="V112" s="2">
        <v>794.1925</v>
      </c>
      <c r="X112" s="2">
        <f t="shared" si="18"/>
        <v>394.45428571428567</v>
      </c>
      <c r="Y112" s="2">
        <f t="shared" si="19"/>
        <v>300.82714285714286</v>
      </c>
      <c r="Z112" s="2">
        <f t="shared" si="20"/>
        <v>331.23892857142857</v>
      </c>
      <c r="AB112" s="2">
        <f t="shared" si="21"/>
        <v>0.76264133450191596</v>
      </c>
      <c r="AD112" s="2">
        <f t="shared" si="22"/>
        <v>0.83973971273151338</v>
      </c>
      <c r="AF112" s="2">
        <f t="shared" si="23"/>
        <v>1.1010938887543391</v>
      </c>
    </row>
    <row r="113" spans="1:32" x14ac:dyDescent="0.5">
      <c r="A113" s="2" t="s">
        <v>139</v>
      </c>
      <c r="B113" s="2">
        <v>12.34</v>
      </c>
      <c r="C113" s="2">
        <v>17.98</v>
      </c>
      <c r="D113" s="2">
        <v>6.45</v>
      </c>
      <c r="E113" s="2">
        <v>29</v>
      </c>
      <c r="F113" s="2">
        <v>2.4500000000000002</v>
      </c>
      <c r="G113" s="2">
        <v>2.7E-2</v>
      </c>
      <c r="H113" s="2">
        <v>8.42</v>
      </c>
      <c r="I113" s="2">
        <v>0.4</v>
      </c>
      <c r="J113" s="2">
        <v>6.89</v>
      </c>
      <c r="K113" s="2">
        <v>46.433750000000003</v>
      </c>
      <c r="L113" s="2">
        <v>5.9</v>
      </c>
      <c r="M113" s="2">
        <v>8.76</v>
      </c>
      <c r="N113" s="2">
        <v>3.37</v>
      </c>
      <c r="O113" s="2">
        <v>46.433750000000003</v>
      </c>
      <c r="P113" s="2">
        <v>27.89</v>
      </c>
      <c r="Q113" s="2">
        <v>7.99</v>
      </c>
      <c r="R113" s="2">
        <v>1.07</v>
      </c>
      <c r="S113" s="2">
        <v>4.1100000000000003</v>
      </c>
      <c r="T113" s="2">
        <v>6.78</v>
      </c>
      <c r="U113" s="2">
        <v>12.3</v>
      </c>
      <c r="V113" s="2">
        <v>0.27</v>
      </c>
      <c r="X113" s="2">
        <f t="shared" si="18"/>
        <v>10.952428571428573</v>
      </c>
      <c r="Y113" s="2">
        <f t="shared" si="19"/>
        <v>16.883928571428573</v>
      </c>
      <c r="Z113" s="2">
        <f t="shared" si="20"/>
        <v>8.6300000000000008</v>
      </c>
      <c r="AB113" s="2">
        <f t="shared" si="21"/>
        <v>1.5415693844809368</v>
      </c>
      <c r="AD113" s="2">
        <f t="shared" si="22"/>
        <v>0.78795309585610496</v>
      </c>
      <c r="AF113" s="2">
        <f t="shared" si="23"/>
        <v>0.51113696456901114</v>
      </c>
    </row>
    <row r="114" spans="1:32" x14ac:dyDescent="0.5">
      <c r="A114" s="2" t="s">
        <v>140</v>
      </c>
      <c r="B114" s="2">
        <v>5127.1000000000004</v>
      </c>
      <c r="C114" s="2">
        <v>6005.98</v>
      </c>
      <c r="D114" s="2">
        <v>3602.26</v>
      </c>
      <c r="E114" s="2">
        <v>6020.94</v>
      </c>
      <c r="F114" s="2">
        <v>3236.9</v>
      </c>
      <c r="G114" s="2">
        <v>4132.04</v>
      </c>
      <c r="H114" s="2">
        <v>3908.22</v>
      </c>
      <c r="I114" s="2">
        <v>2748.34</v>
      </c>
      <c r="J114" s="2">
        <v>4752.0200000000004</v>
      </c>
      <c r="K114" s="2">
        <v>2812.42</v>
      </c>
      <c r="L114" s="2">
        <v>4648.05</v>
      </c>
      <c r="M114" s="2">
        <v>4668.6899999999996</v>
      </c>
      <c r="N114" s="2">
        <v>3749.66</v>
      </c>
      <c r="O114" s="2">
        <v>3452.99</v>
      </c>
      <c r="P114" s="2">
        <v>3285.72</v>
      </c>
      <c r="Q114" s="2">
        <v>4510.0600000000004</v>
      </c>
      <c r="R114" s="2">
        <v>3312.25</v>
      </c>
      <c r="S114" s="2">
        <v>3849.01</v>
      </c>
      <c r="T114" s="2">
        <v>3566.79</v>
      </c>
      <c r="U114" s="2">
        <v>2542.14</v>
      </c>
      <c r="V114" s="2">
        <v>2206.5</v>
      </c>
      <c r="X114" s="2">
        <f t="shared" si="18"/>
        <v>4576.2057142857147</v>
      </c>
      <c r="Y114" s="2">
        <f t="shared" si="19"/>
        <v>3833.1671428571426</v>
      </c>
      <c r="Z114" s="2">
        <f t="shared" si="20"/>
        <v>3324.6385714285716</v>
      </c>
      <c r="AB114" s="2">
        <f t="shared" si="21"/>
        <v>0.83762998916132625</v>
      </c>
      <c r="AD114" s="2">
        <f t="shared" si="22"/>
        <v>0.72650548926371938</v>
      </c>
      <c r="AF114" s="2">
        <f t="shared" si="23"/>
        <v>0.86733462109102633</v>
      </c>
    </row>
    <row r="115" spans="1:32" x14ac:dyDescent="0.5">
      <c r="A115" s="2" t="s">
        <v>141</v>
      </c>
      <c r="B115" s="2">
        <v>54.97</v>
      </c>
      <c r="C115" s="2">
        <v>64.47</v>
      </c>
      <c r="D115" s="2">
        <v>32.67</v>
      </c>
      <c r="E115" s="2">
        <v>1.4E-2</v>
      </c>
      <c r="F115" s="2">
        <v>90.07</v>
      </c>
      <c r="G115" s="2">
        <v>1.4E-2</v>
      </c>
      <c r="H115" s="2">
        <v>1.4E-2</v>
      </c>
      <c r="I115" s="2">
        <v>1.4E-2</v>
      </c>
      <c r="J115" s="2">
        <v>1.4E-2</v>
      </c>
      <c r="K115" s="2">
        <v>39.86</v>
      </c>
      <c r="L115" s="2">
        <v>27.1</v>
      </c>
      <c r="M115" s="2">
        <v>97.7</v>
      </c>
      <c r="N115" s="2">
        <v>4.59</v>
      </c>
      <c r="O115" s="2">
        <v>101.58</v>
      </c>
      <c r="P115" s="2">
        <v>66.77</v>
      </c>
      <c r="Q115" s="2">
        <v>47.6</v>
      </c>
      <c r="R115" s="2">
        <v>1.9</v>
      </c>
      <c r="S115" s="2">
        <v>0.14000000000000001</v>
      </c>
      <c r="T115" s="2">
        <v>28.82</v>
      </c>
      <c r="U115" s="2">
        <v>3.48</v>
      </c>
      <c r="V115" s="2">
        <v>6.61</v>
      </c>
      <c r="X115" s="2">
        <f t="shared" si="18"/>
        <v>34.603142857142863</v>
      </c>
      <c r="Y115" s="2">
        <f t="shared" si="19"/>
        <v>38.694000000000003</v>
      </c>
      <c r="Z115" s="2">
        <f t="shared" si="20"/>
        <v>22.188571428571432</v>
      </c>
      <c r="AB115" s="2">
        <f t="shared" si="21"/>
        <v>1.1182221268092905</v>
      </c>
      <c r="AD115" s="2">
        <f t="shared" si="22"/>
        <v>0.64122994608251938</v>
      </c>
      <c r="AF115" s="2">
        <f t="shared" si="23"/>
        <v>0.573437003891338</v>
      </c>
    </row>
    <row r="116" spans="1:32" x14ac:dyDescent="0.5">
      <c r="A116" s="2" t="s">
        <v>142</v>
      </c>
      <c r="B116" s="2">
        <v>836.61</v>
      </c>
      <c r="C116" s="2">
        <v>685.5</v>
      </c>
      <c r="D116" s="2">
        <v>715.4</v>
      </c>
      <c r="E116" s="2">
        <v>681.93</v>
      </c>
      <c r="F116" s="2">
        <v>3960.92</v>
      </c>
      <c r="G116" s="2">
        <v>3724.25</v>
      </c>
      <c r="H116" s="2">
        <v>701.81</v>
      </c>
      <c r="I116" s="2">
        <v>353.24</v>
      </c>
      <c r="J116" s="2">
        <v>601.35</v>
      </c>
      <c r="K116" s="2">
        <v>3341.15</v>
      </c>
      <c r="L116" s="2">
        <v>2381.6</v>
      </c>
      <c r="M116" s="2">
        <v>4306.17</v>
      </c>
      <c r="N116" s="2">
        <v>767.97</v>
      </c>
      <c r="O116" s="2">
        <v>1324.74</v>
      </c>
      <c r="P116" s="2">
        <v>1118.9100000000001</v>
      </c>
      <c r="Q116" s="2">
        <v>780.37</v>
      </c>
      <c r="R116" s="2">
        <v>831.68</v>
      </c>
      <c r="S116" s="2">
        <v>1185.4100000000001</v>
      </c>
      <c r="T116" s="2">
        <v>1593.39</v>
      </c>
      <c r="U116" s="2">
        <v>884.02</v>
      </c>
      <c r="V116" s="2">
        <v>704.52</v>
      </c>
      <c r="X116" s="2">
        <f t="shared" si="18"/>
        <v>1615.2028571428571</v>
      </c>
      <c r="Y116" s="2">
        <f t="shared" si="19"/>
        <v>1868.0314285714285</v>
      </c>
      <c r="Z116" s="2">
        <f t="shared" si="20"/>
        <v>1014.0428571428573</v>
      </c>
      <c r="AB116" s="2">
        <f t="shared" si="21"/>
        <v>1.1565305375176227</v>
      </c>
      <c r="AD116" s="2">
        <f t="shared" si="22"/>
        <v>0.62781145579237296</v>
      </c>
      <c r="AF116" s="2">
        <f t="shared" si="23"/>
        <v>0.54284036212299902</v>
      </c>
    </row>
    <row r="117" spans="1:32" x14ac:dyDescent="0.5">
      <c r="A117" s="2" t="s">
        <v>143</v>
      </c>
      <c r="B117" s="2">
        <v>17.760000000000002</v>
      </c>
      <c r="C117" s="2">
        <v>10.64</v>
      </c>
      <c r="D117" s="2">
        <v>49.67</v>
      </c>
      <c r="E117" s="2">
        <v>0.34300000000000003</v>
      </c>
      <c r="F117" s="2">
        <v>19.22</v>
      </c>
      <c r="G117" s="2">
        <v>10</v>
      </c>
      <c r="H117" s="2">
        <v>10.83</v>
      </c>
      <c r="I117" s="2">
        <v>23.51</v>
      </c>
      <c r="J117" s="2">
        <v>4.83</v>
      </c>
      <c r="K117" s="2">
        <v>4.74</v>
      </c>
      <c r="L117" s="2">
        <v>5.05</v>
      </c>
      <c r="M117" s="2">
        <v>8.86</v>
      </c>
      <c r="N117" s="2">
        <v>0.34300000000000003</v>
      </c>
      <c r="O117" s="2">
        <v>49.67</v>
      </c>
      <c r="P117" s="2">
        <v>26.48</v>
      </c>
      <c r="Q117" s="2">
        <v>22.5</v>
      </c>
      <c r="R117" s="2">
        <v>0.34300000000000003</v>
      </c>
      <c r="S117" s="2">
        <v>8.7899999999999991</v>
      </c>
      <c r="T117" s="2">
        <v>9.3699999999999992</v>
      </c>
      <c r="U117" s="2">
        <v>3.43</v>
      </c>
      <c r="V117" s="2">
        <v>0.34300000000000003</v>
      </c>
      <c r="X117" s="2">
        <f t="shared" si="18"/>
        <v>16.923285714285715</v>
      </c>
      <c r="Y117" s="2">
        <f t="shared" si="19"/>
        <v>13.857571428571431</v>
      </c>
      <c r="Z117" s="2">
        <f t="shared" si="20"/>
        <v>10.179428571428573</v>
      </c>
      <c r="AB117" s="2">
        <f t="shared" si="21"/>
        <v>0.8188463908562168</v>
      </c>
      <c r="AD117" s="2">
        <f t="shared" si="22"/>
        <v>0.6015042671551456</v>
      </c>
      <c r="AF117" s="2">
        <f t="shared" si="23"/>
        <v>0.73457521932311376</v>
      </c>
    </row>
    <row r="118" spans="1:32" x14ac:dyDescent="0.5">
      <c r="A118" s="2" t="s">
        <v>144</v>
      </c>
      <c r="B118" s="2">
        <v>6281.69</v>
      </c>
      <c r="C118" s="2">
        <v>6422.9</v>
      </c>
      <c r="D118" s="2">
        <v>233.81</v>
      </c>
      <c r="E118" s="2">
        <v>3134.99</v>
      </c>
      <c r="F118" s="2">
        <v>728.35</v>
      </c>
      <c r="G118" s="2">
        <v>3983.72</v>
      </c>
      <c r="H118" s="2">
        <v>2052.4899999999998</v>
      </c>
      <c r="I118" s="2">
        <v>377.44</v>
      </c>
      <c r="J118" s="2">
        <v>1573.39</v>
      </c>
      <c r="K118" s="2">
        <v>5841.13</v>
      </c>
      <c r="L118" s="2">
        <v>6927.63</v>
      </c>
      <c r="M118" s="2">
        <v>410.35</v>
      </c>
      <c r="N118" s="2">
        <v>8694.67</v>
      </c>
      <c r="O118" s="2">
        <v>2154.4699999999998</v>
      </c>
      <c r="P118" s="2">
        <v>2455.63</v>
      </c>
      <c r="Q118" s="2">
        <v>607.12</v>
      </c>
      <c r="R118" s="2">
        <v>1267.06</v>
      </c>
      <c r="S118" s="2">
        <v>408.38</v>
      </c>
      <c r="T118" s="2">
        <v>2726.34</v>
      </c>
      <c r="U118" s="2">
        <v>497.82</v>
      </c>
      <c r="V118" s="2">
        <v>880.79</v>
      </c>
      <c r="X118" s="2">
        <f t="shared" si="18"/>
        <v>3262.5642857142852</v>
      </c>
      <c r="Y118" s="2">
        <f t="shared" si="19"/>
        <v>3711.2971428571432</v>
      </c>
      <c r="Z118" s="2">
        <f t="shared" si="20"/>
        <v>1263.3057142857142</v>
      </c>
      <c r="AB118" s="2">
        <f t="shared" si="21"/>
        <v>1.1375399280583418</v>
      </c>
      <c r="AD118" s="2">
        <f t="shared" si="22"/>
        <v>0.38721251250659544</v>
      </c>
      <c r="AF118" s="2">
        <f t="shared" si="23"/>
        <v>0.34039465600783392</v>
      </c>
    </row>
    <row r="119" spans="1:32" x14ac:dyDescent="0.5">
      <c r="A119" s="2" t="s">
        <v>145</v>
      </c>
      <c r="B119" s="2">
        <v>237.19</v>
      </c>
      <c r="C119" s="2">
        <v>66.59</v>
      </c>
      <c r="D119" s="2">
        <v>23.21</v>
      </c>
      <c r="E119" s="2">
        <v>357.60500000000002</v>
      </c>
      <c r="F119" s="2">
        <v>147.88999999999999</v>
      </c>
      <c r="G119" s="2">
        <v>186.35</v>
      </c>
      <c r="H119" s="2">
        <v>37.93</v>
      </c>
      <c r="I119" s="2">
        <v>76.180000000000007</v>
      </c>
      <c r="J119" s="2">
        <v>156.24</v>
      </c>
      <c r="K119" s="2">
        <v>357.60500000000002</v>
      </c>
      <c r="L119" s="2">
        <v>14.17</v>
      </c>
      <c r="M119" s="2">
        <v>349.09</v>
      </c>
      <c r="N119" s="2">
        <v>104.78</v>
      </c>
      <c r="O119" s="2">
        <v>116.84</v>
      </c>
      <c r="P119" s="2">
        <v>123.01</v>
      </c>
      <c r="Q119" s="2">
        <v>61.48</v>
      </c>
      <c r="R119" s="2">
        <v>23.73</v>
      </c>
      <c r="S119" s="2">
        <v>12.41</v>
      </c>
      <c r="T119" s="2">
        <v>46.8</v>
      </c>
      <c r="U119" s="2">
        <v>104.12</v>
      </c>
      <c r="V119" s="2">
        <v>24.38</v>
      </c>
      <c r="X119" s="2">
        <f t="shared" si="18"/>
        <v>150.96642857142859</v>
      </c>
      <c r="Y119" s="2">
        <f t="shared" si="19"/>
        <v>167.84357142857144</v>
      </c>
      <c r="Z119" s="2">
        <f t="shared" si="20"/>
        <v>56.561428571428571</v>
      </c>
      <c r="AB119" s="2">
        <f t="shared" si="21"/>
        <v>1.1117940128600019</v>
      </c>
      <c r="AD119" s="2">
        <f t="shared" si="22"/>
        <v>0.37466229483376146</v>
      </c>
      <c r="AF119" s="2">
        <f t="shared" si="23"/>
        <v>0.33698894804260771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0CA4-8ED5-4DDD-9688-D7118D7A246B}">
  <dimension ref="A1:S121"/>
  <sheetViews>
    <sheetView tabSelected="1" topLeftCell="E1" workbookViewId="0">
      <selection activeCell="U2" sqref="U2"/>
    </sheetView>
  </sheetViews>
  <sheetFormatPr defaultColWidth="9.046875" defaultRowHeight="14.1" x14ac:dyDescent="0.5"/>
  <cols>
    <col min="1" max="8" width="9.046875" style="8"/>
    <col min="9" max="15" width="9.046875" style="9"/>
    <col min="16" max="18" width="9.046875" style="8"/>
    <col min="19" max="19" width="11.84765625" style="8" bestFit="1" customWidth="1"/>
    <col min="20" max="16384" width="9.046875" style="8"/>
  </cols>
  <sheetData>
    <row r="1" spans="1:19" x14ac:dyDescent="0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14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6" t="s">
        <v>22</v>
      </c>
      <c r="Q1" s="6" t="s">
        <v>23</v>
      </c>
      <c r="R1" s="6" t="s">
        <v>146</v>
      </c>
      <c r="S1" s="17" t="s">
        <v>147</v>
      </c>
    </row>
    <row r="2" spans="1:19" x14ac:dyDescent="0.5">
      <c r="A2" s="8" t="s">
        <v>28</v>
      </c>
      <c r="B2" s="8">
        <v>2.9000000000000001E-2</v>
      </c>
      <c r="C2" s="8">
        <v>2.9000000000000001E-2</v>
      </c>
      <c r="D2" s="8">
        <v>2.9000000000000001E-2</v>
      </c>
      <c r="E2" s="8">
        <v>2.9000000000000001E-2</v>
      </c>
      <c r="F2" s="8">
        <v>2.9000000000000001E-2</v>
      </c>
      <c r="G2" s="8">
        <v>2.9000000000000001E-2</v>
      </c>
      <c r="H2" s="8">
        <v>2.9000000000000001E-2</v>
      </c>
      <c r="I2" s="9">
        <v>28.18</v>
      </c>
      <c r="J2" s="9">
        <v>0.28999999999999998</v>
      </c>
      <c r="K2" s="9">
        <v>33.450000000000003</v>
      </c>
      <c r="L2" s="9">
        <v>3.21</v>
      </c>
      <c r="M2" s="9">
        <v>4.03</v>
      </c>
      <c r="N2" s="9">
        <v>0.61</v>
      </c>
      <c r="O2" s="9">
        <v>11.81</v>
      </c>
      <c r="P2" s="8">
        <f t="shared" ref="P2:P33" si="0">AVERAGE(B2:H2)</f>
        <v>2.9000000000000001E-2</v>
      </c>
      <c r="Q2" s="8">
        <f t="shared" ref="Q2:Q33" si="1">AVERAGE(I2:O2)</f>
        <v>11.654285714285715</v>
      </c>
      <c r="R2" s="8">
        <f t="shared" ref="R2:R33" si="2">Q2/P2</f>
        <v>401.87192118226602</v>
      </c>
      <c r="S2" s="10">
        <f t="shared" ref="S2:S33" si="3">_xlfn.T.TEST(B2:H2,I2:O2,2,2)</f>
        <v>4.4595934268978517E-2</v>
      </c>
    </row>
    <row r="3" spans="1:19" x14ac:dyDescent="0.5">
      <c r="A3" s="8" t="s">
        <v>29</v>
      </c>
      <c r="B3" s="8">
        <v>0.67</v>
      </c>
      <c r="C3" s="8">
        <v>6.7000000000000004E-2</v>
      </c>
      <c r="D3" s="8">
        <v>6.7000000000000004E-2</v>
      </c>
      <c r="E3" s="8">
        <v>6.7000000000000004E-2</v>
      </c>
      <c r="F3" s="8">
        <v>6.7000000000000004E-2</v>
      </c>
      <c r="G3" s="8">
        <v>6.7000000000000004E-2</v>
      </c>
      <c r="H3" s="8">
        <v>6.7000000000000004E-2</v>
      </c>
      <c r="I3" s="9">
        <v>9.7148749999999993</v>
      </c>
      <c r="J3" s="9">
        <v>2.5499999999999998</v>
      </c>
      <c r="K3" s="9">
        <v>3.79</v>
      </c>
      <c r="L3" s="9">
        <v>1.54</v>
      </c>
      <c r="M3" s="9">
        <v>3.65</v>
      </c>
      <c r="N3" s="9">
        <v>5.49</v>
      </c>
      <c r="O3" s="9">
        <v>4.91</v>
      </c>
      <c r="P3" s="8">
        <f t="shared" si="0"/>
        <v>0.15314285714285711</v>
      </c>
      <c r="Q3" s="8">
        <f t="shared" si="1"/>
        <v>4.5206964285714282</v>
      </c>
      <c r="R3" s="8">
        <f t="shared" si="2"/>
        <v>29.519472947761198</v>
      </c>
      <c r="S3" s="10">
        <f t="shared" si="3"/>
        <v>9.5364916496576098E-4</v>
      </c>
    </row>
    <row r="4" spans="1:19" x14ac:dyDescent="0.5">
      <c r="A4" s="8" t="s">
        <v>32</v>
      </c>
      <c r="B4" s="8">
        <v>207.95</v>
      </c>
      <c r="C4" s="8">
        <v>30.06</v>
      </c>
      <c r="D4" s="8">
        <v>144.56</v>
      </c>
      <c r="E4" s="8">
        <v>411.28</v>
      </c>
      <c r="F4" s="8">
        <v>0.29499999999999998</v>
      </c>
      <c r="G4" s="8">
        <v>0.29499999999999998</v>
      </c>
      <c r="H4" s="8">
        <v>0.29499999999999998</v>
      </c>
      <c r="I4" s="9">
        <v>3064.6437500000002</v>
      </c>
      <c r="J4" s="9">
        <v>3064.6437500000002</v>
      </c>
      <c r="K4" s="9">
        <v>931.31</v>
      </c>
      <c r="L4" s="9">
        <v>190.23</v>
      </c>
      <c r="M4" s="9">
        <v>3064.6437500000002</v>
      </c>
      <c r="N4" s="9">
        <v>235.88</v>
      </c>
      <c r="O4" s="9">
        <v>976.09</v>
      </c>
      <c r="P4" s="8">
        <f t="shared" si="0"/>
        <v>113.53357142857139</v>
      </c>
      <c r="Q4" s="8">
        <f t="shared" si="1"/>
        <v>1646.7773214285712</v>
      </c>
      <c r="R4" s="8">
        <f t="shared" si="2"/>
        <v>14.504761020969257</v>
      </c>
      <c r="S4" s="10">
        <f t="shared" si="3"/>
        <v>1.1861963673551742E-2</v>
      </c>
    </row>
    <row r="5" spans="1:19" x14ac:dyDescent="0.5">
      <c r="A5" s="8" t="s">
        <v>30</v>
      </c>
      <c r="B5" s="8">
        <v>1E-3</v>
      </c>
      <c r="C5" s="8">
        <v>28.91</v>
      </c>
      <c r="D5" s="8">
        <v>1E-3</v>
      </c>
      <c r="E5" s="8">
        <v>1E-3</v>
      </c>
      <c r="F5" s="8">
        <v>1E-3</v>
      </c>
      <c r="G5" s="8">
        <v>0.01</v>
      </c>
      <c r="H5" s="8">
        <v>1.44</v>
      </c>
      <c r="I5" s="9">
        <v>56.19</v>
      </c>
      <c r="J5" s="9">
        <v>24.99</v>
      </c>
      <c r="K5" s="9">
        <v>41.73</v>
      </c>
      <c r="L5" s="9">
        <v>26.47</v>
      </c>
      <c r="M5" s="9">
        <v>40.28</v>
      </c>
      <c r="N5" s="9">
        <v>99.66</v>
      </c>
      <c r="O5" s="9">
        <v>95.27</v>
      </c>
      <c r="P5" s="8">
        <f t="shared" si="0"/>
        <v>4.337714285714287</v>
      </c>
      <c r="Q5" s="8">
        <f t="shared" si="1"/>
        <v>54.941428571428567</v>
      </c>
      <c r="R5" s="8">
        <f t="shared" si="2"/>
        <v>12.665986036095372</v>
      </c>
      <c r="S5" s="10">
        <f t="shared" si="3"/>
        <v>1.5004030043059226E-3</v>
      </c>
    </row>
    <row r="6" spans="1:19" x14ac:dyDescent="0.5">
      <c r="A6" s="8" t="s">
        <v>31</v>
      </c>
      <c r="B6" s="8">
        <v>6.0000000000000001E-3</v>
      </c>
      <c r="C6" s="8">
        <v>0.84</v>
      </c>
      <c r="D6" s="8">
        <v>6.0000000000000001E-3</v>
      </c>
      <c r="E6" s="8">
        <v>6.0000000000000001E-3</v>
      </c>
      <c r="F6" s="8">
        <v>6.0000000000000001E-3</v>
      </c>
      <c r="G6" s="8">
        <v>6.0000000000000001E-3</v>
      </c>
      <c r="H6" s="8">
        <v>6.0000000000000001E-3</v>
      </c>
      <c r="I6" s="9">
        <v>1.66</v>
      </c>
      <c r="J6" s="9">
        <v>0.06</v>
      </c>
      <c r="K6" s="9">
        <v>1.05</v>
      </c>
      <c r="L6" s="9">
        <v>0.67</v>
      </c>
      <c r="M6" s="9">
        <v>1.79</v>
      </c>
      <c r="N6" s="9">
        <v>1.93</v>
      </c>
      <c r="O6" s="9">
        <v>1.0900000000000001</v>
      </c>
      <c r="P6" s="8">
        <f t="shared" si="0"/>
        <v>0.12514285714285714</v>
      </c>
      <c r="Q6" s="8">
        <f t="shared" si="1"/>
        <v>1.1785714285714286</v>
      </c>
      <c r="R6" s="8">
        <f t="shared" si="2"/>
        <v>9.4178082191780828</v>
      </c>
      <c r="S6" s="10">
        <f t="shared" si="3"/>
        <v>2.7320818635171557E-3</v>
      </c>
    </row>
    <row r="7" spans="1:19" x14ac:dyDescent="0.5">
      <c r="A7" s="8" t="s">
        <v>33</v>
      </c>
      <c r="B7" s="8">
        <v>0.63500000000000001</v>
      </c>
      <c r="C7" s="8">
        <v>23.47</v>
      </c>
      <c r="D7" s="8">
        <v>33.11</v>
      </c>
      <c r="E7" s="8">
        <v>32.47</v>
      </c>
      <c r="F7" s="8">
        <v>0.63500000000000001</v>
      </c>
      <c r="G7" s="8">
        <v>0.63500000000000001</v>
      </c>
      <c r="H7" s="8">
        <v>6.35</v>
      </c>
      <c r="I7" s="9">
        <v>74.98</v>
      </c>
      <c r="J7" s="9">
        <v>87.37</v>
      </c>
      <c r="K7" s="9">
        <v>131.84</v>
      </c>
      <c r="L7" s="9">
        <v>97.55</v>
      </c>
      <c r="M7" s="9">
        <v>112.99</v>
      </c>
      <c r="N7" s="9">
        <v>94.41</v>
      </c>
      <c r="O7" s="9">
        <v>171.22</v>
      </c>
      <c r="P7" s="8">
        <f t="shared" si="0"/>
        <v>13.900714285714287</v>
      </c>
      <c r="Q7" s="8">
        <f t="shared" si="1"/>
        <v>110.05142857142859</v>
      </c>
      <c r="R7" s="8">
        <f t="shared" si="2"/>
        <v>7.9169621293869801</v>
      </c>
      <c r="S7" s="10">
        <f t="shared" si="3"/>
        <v>1.2947209130736933E-5</v>
      </c>
    </row>
    <row r="8" spans="1:19" x14ac:dyDescent="0.5">
      <c r="A8" s="8" t="s">
        <v>38</v>
      </c>
      <c r="B8" s="8">
        <v>152.55000000000001</v>
      </c>
      <c r="C8" s="8">
        <v>43.05</v>
      </c>
      <c r="D8" s="8">
        <v>417.97</v>
      </c>
      <c r="E8" s="8">
        <v>71.41</v>
      </c>
      <c r="F8" s="8">
        <v>138.82</v>
      </c>
      <c r="G8" s="8">
        <v>4.3049999999999997</v>
      </c>
      <c r="H8" s="8">
        <v>4.3049999999999997</v>
      </c>
      <c r="I8" s="9">
        <v>1877.60625</v>
      </c>
      <c r="J8" s="9">
        <v>1877.60625</v>
      </c>
      <c r="K8" s="9">
        <v>128.13999999999999</v>
      </c>
      <c r="L8" s="9">
        <v>77.040000000000006</v>
      </c>
      <c r="M8" s="9">
        <v>1877.60625</v>
      </c>
      <c r="N8" s="9">
        <v>112.23</v>
      </c>
      <c r="O8" s="9">
        <v>289.06</v>
      </c>
      <c r="P8" s="8">
        <f t="shared" si="0"/>
        <v>118.91571428571426</v>
      </c>
      <c r="Q8" s="8">
        <f t="shared" si="1"/>
        <v>891.32696428571421</v>
      </c>
      <c r="R8" s="8">
        <f t="shared" si="2"/>
        <v>7.4954514602179225</v>
      </c>
      <c r="S8" s="10">
        <f t="shared" si="3"/>
        <v>4.9635636529564223E-2</v>
      </c>
    </row>
    <row r="9" spans="1:19" x14ac:dyDescent="0.5">
      <c r="A9" s="8" t="s">
        <v>35</v>
      </c>
      <c r="B9" s="8">
        <v>0.11</v>
      </c>
      <c r="C9" s="8">
        <v>0.21</v>
      </c>
      <c r="D9" s="8">
        <v>0.04</v>
      </c>
      <c r="E9" s="8">
        <v>0.12</v>
      </c>
      <c r="F9" s="8">
        <v>4.0000000000000001E-3</v>
      </c>
      <c r="G9" s="8">
        <v>0.04</v>
      </c>
      <c r="H9" s="8">
        <v>4.0000000000000001E-3</v>
      </c>
      <c r="I9" s="9">
        <v>0.79</v>
      </c>
      <c r="J9" s="9">
        <v>0.47</v>
      </c>
      <c r="K9" s="9">
        <v>0.5</v>
      </c>
      <c r="L9" s="9">
        <v>0.38</v>
      </c>
      <c r="M9" s="9">
        <v>0.39</v>
      </c>
      <c r="N9" s="9">
        <v>0.5</v>
      </c>
      <c r="O9" s="9">
        <v>0.51</v>
      </c>
      <c r="P9" s="8">
        <f t="shared" si="0"/>
        <v>7.5428571428571428E-2</v>
      </c>
      <c r="Q9" s="8">
        <f t="shared" si="1"/>
        <v>0.50571428571428567</v>
      </c>
      <c r="R9" s="8">
        <f t="shared" si="2"/>
        <v>6.7045454545454541</v>
      </c>
      <c r="S9" s="10">
        <f t="shared" si="3"/>
        <v>9.3023588688206144E-6</v>
      </c>
    </row>
    <row r="10" spans="1:19" x14ac:dyDescent="0.5">
      <c r="A10" s="8" t="s">
        <v>34</v>
      </c>
      <c r="B10" s="8">
        <v>0.97</v>
      </c>
      <c r="C10" s="8">
        <v>6.21</v>
      </c>
      <c r="D10" s="8">
        <v>2.3E-2</v>
      </c>
      <c r="E10" s="8">
        <v>0.39</v>
      </c>
      <c r="F10" s="8">
        <v>0.23</v>
      </c>
      <c r="G10" s="8">
        <v>2.3E-2</v>
      </c>
      <c r="H10" s="8">
        <v>1.51</v>
      </c>
      <c r="I10" s="9">
        <v>9.17</v>
      </c>
      <c r="J10" s="9">
        <v>4.0199999999999996</v>
      </c>
      <c r="K10" s="9">
        <v>6.92</v>
      </c>
      <c r="L10" s="9">
        <v>4.57</v>
      </c>
      <c r="M10" s="9">
        <v>8.31</v>
      </c>
      <c r="N10" s="9">
        <v>8.23</v>
      </c>
      <c r="O10" s="9">
        <v>6.88</v>
      </c>
      <c r="P10" s="8">
        <f t="shared" si="0"/>
        <v>1.3365714285714285</v>
      </c>
      <c r="Q10" s="8">
        <f t="shared" si="1"/>
        <v>6.8714285714285719</v>
      </c>
      <c r="R10" s="8">
        <f t="shared" si="2"/>
        <v>5.1410859341598982</v>
      </c>
      <c r="S10" s="10">
        <f t="shared" si="3"/>
        <v>3.2591986899162397E-4</v>
      </c>
    </row>
    <row r="11" spans="1:19" x14ac:dyDescent="0.5">
      <c r="A11" s="8" t="s">
        <v>37</v>
      </c>
      <c r="B11" s="8">
        <v>1.49</v>
      </c>
      <c r="C11" s="8">
        <v>25.8</v>
      </c>
      <c r="D11" s="8">
        <v>22.5</v>
      </c>
      <c r="E11" s="8">
        <v>9.2999999999999999E-2</v>
      </c>
      <c r="F11" s="8">
        <v>9.99</v>
      </c>
      <c r="G11" s="8">
        <v>0.93</v>
      </c>
      <c r="H11" s="8">
        <v>2.11</v>
      </c>
      <c r="I11" s="9">
        <v>104.3425</v>
      </c>
      <c r="J11" s="9">
        <v>21.5</v>
      </c>
      <c r="K11" s="9">
        <v>15.94</v>
      </c>
      <c r="L11" s="9">
        <v>38.03</v>
      </c>
      <c r="M11" s="9">
        <v>13.92</v>
      </c>
      <c r="N11" s="9">
        <v>90.86</v>
      </c>
      <c r="O11" s="9">
        <v>6.23</v>
      </c>
      <c r="P11" s="8">
        <f t="shared" si="0"/>
        <v>8.9875714285714299</v>
      </c>
      <c r="Q11" s="8">
        <f t="shared" si="1"/>
        <v>41.54607142857143</v>
      </c>
      <c r="R11" s="8">
        <f t="shared" si="2"/>
        <v>4.6226137682196047</v>
      </c>
      <c r="S11" s="10">
        <f t="shared" si="3"/>
        <v>5.832768170943655E-2</v>
      </c>
    </row>
    <row r="12" spans="1:19" x14ac:dyDescent="0.5">
      <c r="A12" s="8" t="s">
        <v>42</v>
      </c>
      <c r="B12" s="8">
        <v>3.56</v>
      </c>
      <c r="C12" s="8">
        <v>17.440000000000001</v>
      </c>
      <c r="D12" s="8">
        <v>2.94</v>
      </c>
      <c r="E12" s="8">
        <v>5.52</v>
      </c>
      <c r="F12" s="8">
        <v>1.76</v>
      </c>
      <c r="G12" s="8">
        <v>2.0499999999999998</v>
      </c>
      <c r="H12" s="8">
        <v>8.19</v>
      </c>
      <c r="I12" s="9">
        <v>45.52375</v>
      </c>
      <c r="J12" s="9">
        <v>16.12</v>
      </c>
      <c r="K12" s="9">
        <v>26.77</v>
      </c>
      <c r="L12" s="9">
        <v>18.690000000000001</v>
      </c>
      <c r="M12" s="9">
        <v>36.26</v>
      </c>
      <c r="N12" s="9">
        <v>25.4</v>
      </c>
      <c r="O12" s="9">
        <v>18.88</v>
      </c>
      <c r="P12" s="8">
        <f t="shared" si="0"/>
        <v>5.9228571428571426</v>
      </c>
      <c r="Q12" s="8">
        <f t="shared" si="1"/>
        <v>26.806249999999999</v>
      </c>
      <c r="R12" s="8">
        <f t="shared" si="2"/>
        <v>4.5258984563434632</v>
      </c>
      <c r="S12" s="10">
        <f t="shared" si="3"/>
        <v>6.2140013285640213E-4</v>
      </c>
    </row>
    <row r="13" spans="1:19" x14ac:dyDescent="0.5">
      <c r="A13" s="8" t="s">
        <v>36</v>
      </c>
      <c r="B13" s="8">
        <v>412.54</v>
      </c>
      <c r="C13" s="8">
        <v>2103.54</v>
      </c>
      <c r="D13" s="8">
        <v>974.99</v>
      </c>
      <c r="E13" s="8">
        <v>295.5</v>
      </c>
      <c r="F13" s="8">
        <v>636.84</v>
      </c>
      <c r="G13" s="8">
        <v>222.26</v>
      </c>
      <c r="H13" s="8">
        <v>106.7</v>
      </c>
      <c r="I13" s="9">
        <v>3372.38</v>
      </c>
      <c r="J13" s="9">
        <v>3626.19</v>
      </c>
      <c r="K13" s="9">
        <v>2072.94</v>
      </c>
      <c r="L13" s="9">
        <v>3550.19</v>
      </c>
      <c r="M13" s="9">
        <v>3576.88</v>
      </c>
      <c r="N13" s="9">
        <v>1369.3</v>
      </c>
      <c r="O13" s="9">
        <v>1718.34</v>
      </c>
      <c r="P13" s="8">
        <f t="shared" si="0"/>
        <v>678.91</v>
      </c>
      <c r="Q13" s="8">
        <f t="shared" si="1"/>
        <v>2755.1742857142858</v>
      </c>
      <c r="R13" s="8">
        <f t="shared" si="2"/>
        <v>4.0582319979294548</v>
      </c>
      <c r="S13" s="10">
        <f t="shared" si="3"/>
        <v>6.7682900362117529E-4</v>
      </c>
    </row>
    <row r="14" spans="1:19" x14ac:dyDescent="0.5">
      <c r="A14" s="8" t="s">
        <v>91</v>
      </c>
      <c r="B14" s="8">
        <v>0.251</v>
      </c>
      <c r="C14" s="8">
        <v>0.251</v>
      </c>
      <c r="D14" s="8">
        <v>316.48</v>
      </c>
      <c r="E14" s="8">
        <v>0.251</v>
      </c>
      <c r="F14" s="8">
        <v>0.251</v>
      </c>
      <c r="G14" s="8">
        <v>0.251</v>
      </c>
      <c r="H14" s="8">
        <v>0.251</v>
      </c>
      <c r="I14" s="9">
        <v>563.49225000000001</v>
      </c>
      <c r="J14" s="9">
        <v>0.251</v>
      </c>
      <c r="K14" s="9">
        <v>2.5099999999999998</v>
      </c>
      <c r="L14" s="9">
        <v>221.45</v>
      </c>
      <c r="M14" s="9">
        <v>170.13</v>
      </c>
      <c r="N14" s="9">
        <v>72.989999999999995</v>
      </c>
      <c r="O14" s="9">
        <v>237.84</v>
      </c>
      <c r="P14" s="8">
        <f t="shared" si="0"/>
        <v>45.426571428571421</v>
      </c>
      <c r="Q14" s="8">
        <f t="shared" si="1"/>
        <v>181.23760714285712</v>
      </c>
      <c r="R14" s="8">
        <f t="shared" si="2"/>
        <v>3.9896827218808375</v>
      </c>
      <c r="S14" s="10">
        <f t="shared" si="3"/>
        <v>0.14176473103725268</v>
      </c>
    </row>
    <row r="15" spans="1:19" x14ac:dyDescent="0.5">
      <c r="A15" s="8" t="s">
        <v>46</v>
      </c>
      <c r="B15" s="8">
        <v>19.399999999999999</v>
      </c>
      <c r="C15" s="8">
        <v>14.39</v>
      </c>
      <c r="D15" s="8">
        <v>9.86</v>
      </c>
      <c r="E15" s="8">
        <v>4.88</v>
      </c>
      <c r="F15" s="8">
        <v>9.91</v>
      </c>
      <c r="G15" s="8">
        <v>4.5599999999999996</v>
      </c>
      <c r="H15" s="8">
        <v>5.26</v>
      </c>
      <c r="I15" s="9">
        <v>67.325000000000003</v>
      </c>
      <c r="J15" s="9">
        <v>14.52</v>
      </c>
      <c r="K15" s="9">
        <v>42.76</v>
      </c>
      <c r="L15" s="9">
        <v>23.37</v>
      </c>
      <c r="M15" s="9">
        <v>25.19</v>
      </c>
      <c r="N15" s="9">
        <v>67.325000000000003</v>
      </c>
      <c r="O15" s="9">
        <v>25.37</v>
      </c>
      <c r="P15" s="8">
        <f t="shared" si="0"/>
        <v>9.7514285714285727</v>
      </c>
      <c r="Q15" s="8">
        <f t="shared" si="1"/>
        <v>37.980000000000004</v>
      </c>
      <c r="R15" s="8">
        <f t="shared" si="2"/>
        <v>3.8948139466744798</v>
      </c>
      <c r="S15" s="10">
        <f t="shared" si="3"/>
        <v>5.9913305168086814E-3</v>
      </c>
    </row>
    <row r="16" spans="1:19" x14ac:dyDescent="0.5">
      <c r="A16" s="8" t="s">
        <v>48</v>
      </c>
      <c r="B16" s="8">
        <v>16.329999999999998</v>
      </c>
      <c r="C16" s="8">
        <v>19.45</v>
      </c>
      <c r="D16" s="8">
        <v>7.08</v>
      </c>
      <c r="E16" s="8">
        <v>67.84</v>
      </c>
      <c r="F16" s="8">
        <v>3.72</v>
      </c>
      <c r="G16" s="8">
        <v>1.69</v>
      </c>
      <c r="H16" s="8">
        <v>9.0299999999999994</v>
      </c>
      <c r="I16" s="9">
        <v>73.37</v>
      </c>
      <c r="J16" s="9">
        <v>40.06</v>
      </c>
      <c r="K16" s="9">
        <v>94.26</v>
      </c>
      <c r="L16" s="9">
        <v>39.29</v>
      </c>
      <c r="M16" s="9">
        <v>43.44</v>
      </c>
      <c r="N16" s="9">
        <v>81.400000000000006</v>
      </c>
      <c r="O16" s="9">
        <v>81.010000000000005</v>
      </c>
      <c r="P16" s="8">
        <f t="shared" si="0"/>
        <v>17.877142857142857</v>
      </c>
      <c r="Q16" s="8">
        <f t="shared" si="1"/>
        <v>64.689999999999984</v>
      </c>
      <c r="R16" s="8">
        <f t="shared" si="2"/>
        <v>3.6185871823557605</v>
      </c>
      <c r="S16" s="10">
        <f t="shared" si="3"/>
        <v>2.5066959294632041E-3</v>
      </c>
    </row>
    <row r="17" spans="1:19" x14ac:dyDescent="0.5">
      <c r="A17" s="8" t="s">
        <v>60</v>
      </c>
      <c r="B17" s="8">
        <v>15.032</v>
      </c>
      <c r="C17" s="8">
        <v>162.88999999999999</v>
      </c>
      <c r="D17" s="8">
        <v>396.3</v>
      </c>
      <c r="E17" s="8">
        <v>299.10000000000002</v>
      </c>
      <c r="F17" s="8">
        <v>197.36</v>
      </c>
      <c r="G17" s="8">
        <v>186.02</v>
      </c>
      <c r="H17" s="8">
        <v>15.032</v>
      </c>
      <c r="I17" s="9">
        <v>1389.41875</v>
      </c>
      <c r="J17" s="9">
        <v>1389.41875</v>
      </c>
      <c r="K17" s="9">
        <v>186.77</v>
      </c>
      <c r="L17" s="9">
        <v>165.89</v>
      </c>
      <c r="M17" s="9">
        <v>723.19</v>
      </c>
      <c r="N17" s="9">
        <v>15.032</v>
      </c>
      <c r="O17" s="9">
        <v>462.29</v>
      </c>
      <c r="P17" s="8">
        <f t="shared" si="0"/>
        <v>181.67628571428571</v>
      </c>
      <c r="Q17" s="8">
        <f t="shared" si="1"/>
        <v>618.85850000000005</v>
      </c>
      <c r="R17" s="8">
        <f t="shared" si="2"/>
        <v>3.4063801864226328</v>
      </c>
      <c r="S17" s="10">
        <f t="shared" si="3"/>
        <v>7.3983640287505245E-2</v>
      </c>
    </row>
    <row r="18" spans="1:19" x14ac:dyDescent="0.5">
      <c r="A18" s="8" t="s">
        <v>40</v>
      </c>
      <c r="B18" s="8">
        <v>50.85</v>
      </c>
      <c r="C18" s="8">
        <v>20.63</v>
      </c>
      <c r="D18" s="8">
        <v>4.62</v>
      </c>
      <c r="E18" s="8">
        <v>2.37</v>
      </c>
      <c r="F18" s="8">
        <v>0.23699999999999999</v>
      </c>
      <c r="G18" s="8">
        <v>0.23699999999999999</v>
      </c>
      <c r="H18" s="8">
        <v>5.33</v>
      </c>
      <c r="I18" s="9">
        <v>105.25125</v>
      </c>
      <c r="J18" s="9">
        <v>25.23</v>
      </c>
      <c r="K18" s="9">
        <v>38.31</v>
      </c>
      <c r="L18" s="9">
        <v>26.78</v>
      </c>
      <c r="M18" s="9">
        <v>25.18</v>
      </c>
      <c r="N18" s="9">
        <v>16.54</v>
      </c>
      <c r="O18" s="9">
        <v>28.99</v>
      </c>
      <c r="P18" s="8">
        <f t="shared" si="0"/>
        <v>12.039142857142858</v>
      </c>
      <c r="Q18" s="8">
        <f t="shared" si="1"/>
        <v>38.040178571428569</v>
      </c>
      <c r="R18" s="8">
        <f t="shared" si="2"/>
        <v>3.1597082136839352</v>
      </c>
      <c r="S18" s="10">
        <f t="shared" si="3"/>
        <v>7.6681035935322717E-2</v>
      </c>
    </row>
    <row r="19" spans="1:19" x14ac:dyDescent="0.5">
      <c r="A19" s="8" t="s">
        <v>39</v>
      </c>
      <c r="B19" s="8">
        <v>177.26</v>
      </c>
      <c r="C19" s="8">
        <v>279.02</v>
      </c>
      <c r="D19" s="8">
        <v>296.33</v>
      </c>
      <c r="E19" s="8">
        <v>8.7959999999999994</v>
      </c>
      <c r="F19" s="8">
        <v>134.58000000000001</v>
      </c>
      <c r="G19" s="8">
        <v>130.66999999999999</v>
      </c>
      <c r="H19" s="8">
        <v>119.85</v>
      </c>
      <c r="I19" s="9">
        <v>548.96</v>
      </c>
      <c r="J19" s="9">
        <v>550.83000000000004</v>
      </c>
      <c r="K19" s="9">
        <v>540.09</v>
      </c>
      <c r="L19" s="9">
        <v>547.04999999999995</v>
      </c>
      <c r="M19" s="9">
        <v>435</v>
      </c>
      <c r="N19" s="9">
        <v>521.76</v>
      </c>
      <c r="O19" s="9">
        <v>398</v>
      </c>
      <c r="P19" s="8">
        <f t="shared" si="0"/>
        <v>163.78657142857142</v>
      </c>
      <c r="Q19" s="8">
        <f t="shared" si="1"/>
        <v>505.95571428571435</v>
      </c>
      <c r="R19" s="8">
        <f t="shared" si="2"/>
        <v>3.0891159749709121</v>
      </c>
      <c r="S19" s="10">
        <f t="shared" si="3"/>
        <v>5.4303768096739822E-6</v>
      </c>
    </row>
    <row r="20" spans="1:19" x14ac:dyDescent="0.5">
      <c r="A20" s="8" t="s">
        <v>52</v>
      </c>
      <c r="B20" s="8">
        <v>576.26</v>
      </c>
      <c r="C20" s="8">
        <v>512.57000000000005</v>
      </c>
      <c r="D20" s="8">
        <v>427.11</v>
      </c>
      <c r="E20" s="8">
        <v>639.04</v>
      </c>
      <c r="F20" s="8">
        <v>190.68</v>
      </c>
      <c r="G20" s="8">
        <v>84.73</v>
      </c>
      <c r="H20" s="8">
        <v>240.11</v>
      </c>
      <c r="I20" s="9">
        <v>100.47</v>
      </c>
      <c r="J20" s="9">
        <v>789.16</v>
      </c>
      <c r="K20" s="9">
        <v>2035.97</v>
      </c>
      <c r="L20" s="9">
        <v>1214.8800000000001</v>
      </c>
      <c r="M20" s="9">
        <v>2124.9699999999998</v>
      </c>
      <c r="N20" s="9">
        <v>1278.47</v>
      </c>
      <c r="O20" s="9">
        <v>552.86</v>
      </c>
      <c r="P20" s="8">
        <f t="shared" si="0"/>
        <v>381.5</v>
      </c>
      <c r="Q20" s="8">
        <f t="shared" si="1"/>
        <v>1156.6828571428571</v>
      </c>
      <c r="R20" s="8">
        <f t="shared" si="2"/>
        <v>3.0319340947388129</v>
      </c>
      <c r="S20" s="10">
        <f t="shared" si="3"/>
        <v>2.1443553332925913E-2</v>
      </c>
    </row>
    <row r="21" spans="1:19" x14ac:dyDescent="0.5">
      <c r="A21" s="8" t="s">
        <v>53</v>
      </c>
      <c r="B21" s="8">
        <v>866.33</v>
      </c>
      <c r="C21" s="8">
        <v>1163.2</v>
      </c>
      <c r="D21" s="8">
        <v>317.33</v>
      </c>
      <c r="E21" s="8">
        <v>448.59</v>
      </c>
      <c r="F21" s="8">
        <v>253.01</v>
      </c>
      <c r="G21" s="8">
        <v>348.61</v>
      </c>
      <c r="H21" s="8">
        <v>356.12</v>
      </c>
      <c r="I21" s="9">
        <v>1549.75</v>
      </c>
      <c r="J21" s="9">
        <v>1458.69</v>
      </c>
      <c r="K21" s="9">
        <v>1209.25</v>
      </c>
      <c r="L21" s="9">
        <v>1450.31</v>
      </c>
      <c r="M21" s="9">
        <v>2483.2800000000002</v>
      </c>
      <c r="N21" s="9">
        <v>1296.21</v>
      </c>
      <c r="O21" s="9">
        <v>1463.69</v>
      </c>
      <c r="P21" s="8">
        <f t="shared" si="0"/>
        <v>536.16999999999996</v>
      </c>
      <c r="Q21" s="8">
        <f t="shared" si="1"/>
        <v>1558.7400000000002</v>
      </c>
      <c r="R21" s="8">
        <f t="shared" si="2"/>
        <v>2.9071749631646684</v>
      </c>
      <c r="S21" s="10">
        <f t="shared" si="3"/>
        <v>3.2853513334963084E-4</v>
      </c>
    </row>
    <row r="22" spans="1:19" x14ac:dyDescent="0.5">
      <c r="A22" s="8" t="s">
        <v>47</v>
      </c>
      <c r="B22" s="8">
        <v>168.27</v>
      </c>
      <c r="C22" s="8">
        <v>202.64</v>
      </c>
      <c r="D22" s="8">
        <v>37.78</v>
      </c>
      <c r="E22" s="8">
        <v>31.58</v>
      </c>
      <c r="F22" s="8">
        <v>20.149999999999999</v>
      </c>
      <c r="G22" s="8">
        <v>19.37</v>
      </c>
      <c r="H22" s="8">
        <v>62.57</v>
      </c>
      <c r="I22" s="9">
        <v>531.50125000000003</v>
      </c>
      <c r="J22" s="9">
        <v>112.46</v>
      </c>
      <c r="K22" s="9">
        <v>101.1</v>
      </c>
      <c r="L22" s="9">
        <v>117.14</v>
      </c>
      <c r="M22" s="9">
        <v>332.56</v>
      </c>
      <c r="N22" s="9">
        <v>140.55000000000001</v>
      </c>
      <c r="O22" s="9">
        <v>197.06</v>
      </c>
      <c r="P22" s="8">
        <f t="shared" si="0"/>
        <v>77.47999999999999</v>
      </c>
      <c r="Q22" s="8">
        <f t="shared" si="1"/>
        <v>218.91017857142856</v>
      </c>
      <c r="R22" s="8">
        <f t="shared" si="2"/>
        <v>2.8253765948816287</v>
      </c>
      <c r="S22" s="10">
        <f t="shared" si="3"/>
        <v>5.5741966462593474E-2</v>
      </c>
    </row>
    <row r="23" spans="1:19" x14ac:dyDescent="0.5">
      <c r="A23" s="8" t="s">
        <v>45</v>
      </c>
      <c r="B23" s="8">
        <v>388.2</v>
      </c>
      <c r="C23" s="8">
        <v>484.88</v>
      </c>
      <c r="D23" s="8">
        <v>240.91</v>
      </c>
      <c r="E23" s="8">
        <v>179.3</v>
      </c>
      <c r="F23" s="8">
        <v>145.94999999999999</v>
      </c>
      <c r="G23" s="8">
        <v>8.2899999999999991</v>
      </c>
      <c r="H23" s="8">
        <v>82.9</v>
      </c>
      <c r="I23" s="9">
        <v>438.81</v>
      </c>
      <c r="J23" s="9">
        <v>566.16999999999996</v>
      </c>
      <c r="K23" s="9">
        <v>523.91</v>
      </c>
      <c r="L23" s="9">
        <v>469.21</v>
      </c>
      <c r="M23" s="9">
        <v>928.11</v>
      </c>
      <c r="N23" s="9">
        <v>812.58</v>
      </c>
      <c r="O23" s="9">
        <v>530.33000000000004</v>
      </c>
      <c r="P23" s="8">
        <f t="shared" si="0"/>
        <v>218.63285714285715</v>
      </c>
      <c r="Q23" s="8">
        <f t="shared" si="1"/>
        <v>609.87428571428575</v>
      </c>
      <c r="R23" s="8">
        <f t="shared" si="2"/>
        <v>2.7894905353397412</v>
      </c>
      <c r="S23" s="10">
        <f t="shared" si="3"/>
        <v>1.3922800657672504E-3</v>
      </c>
    </row>
    <row r="24" spans="1:19" x14ac:dyDescent="0.5">
      <c r="A24" s="8" t="s">
        <v>58</v>
      </c>
      <c r="B24" s="8">
        <v>78.91</v>
      </c>
      <c r="C24" s="8">
        <v>64.63</v>
      </c>
      <c r="D24" s="8">
        <v>35.700000000000003</v>
      </c>
      <c r="E24" s="8">
        <v>45.22</v>
      </c>
      <c r="F24" s="8">
        <v>24.69</v>
      </c>
      <c r="G24" s="8">
        <v>36.299999999999997</v>
      </c>
      <c r="H24" s="8">
        <v>52.8</v>
      </c>
      <c r="I24" s="9">
        <v>242.27</v>
      </c>
      <c r="J24" s="9">
        <v>63.53</v>
      </c>
      <c r="K24" s="9">
        <v>99.29</v>
      </c>
      <c r="L24" s="9">
        <v>53.62</v>
      </c>
      <c r="M24" s="9">
        <v>248.73374999999999</v>
      </c>
      <c r="N24" s="9">
        <v>68.59</v>
      </c>
      <c r="O24" s="9">
        <v>135.18</v>
      </c>
      <c r="P24" s="8">
        <f t="shared" si="0"/>
        <v>48.321428571428569</v>
      </c>
      <c r="Q24" s="8">
        <f t="shared" si="1"/>
        <v>130.17339285714289</v>
      </c>
      <c r="R24" s="8">
        <f t="shared" si="2"/>
        <v>2.6939061345158914</v>
      </c>
      <c r="S24" s="10">
        <f t="shared" si="3"/>
        <v>2.6179524974060373E-2</v>
      </c>
    </row>
    <row r="25" spans="1:19" x14ac:dyDescent="0.5">
      <c r="A25" s="8" t="s">
        <v>55</v>
      </c>
      <c r="B25" s="8">
        <v>4.9779999999999998</v>
      </c>
      <c r="C25" s="8">
        <v>537.94000000000005</v>
      </c>
      <c r="D25" s="8">
        <v>272.10000000000002</v>
      </c>
      <c r="E25" s="8">
        <v>4.9779999999999998</v>
      </c>
      <c r="F25" s="8">
        <v>4.9779999999999998</v>
      </c>
      <c r="G25" s="8">
        <v>135.51</v>
      </c>
      <c r="H25" s="8">
        <v>84.61</v>
      </c>
      <c r="I25" s="9">
        <v>953.81500000000005</v>
      </c>
      <c r="J25" s="9">
        <v>172.01</v>
      </c>
      <c r="K25" s="9">
        <v>266.05</v>
      </c>
      <c r="L25" s="9">
        <v>396.56</v>
      </c>
      <c r="M25" s="9">
        <v>235.93</v>
      </c>
      <c r="N25" s="9">
        <v>275.68</v>
      </c>
      <c r="O25" s="9">
        <v>246.3</v>
      </c>
      <c r="P25" s="8">
        <f t="shared" si="0"/>
        <v>149.29914285714284</v>
      </c>
      <c r="Q25" s="8">
        <f t="shared" si="1"/>
        <v>363.76357142857148</v>
      </c>
      <c r="R25" s="8">
        <f t="shared" si="2"/>
        <v>2.4364746137668005</v>
      </c>
      <c r="S25" s="10">
        <f t="shared" si="3"/>
        <v>0.11438953449857885</v>
      </c>
    </row>
    <row r="26" spans="1:19" x14ac:dyDescent="0.5">
      <c r="A26" s="8" t="s">
        <v>77</v>
      </c>
      <c r="B26" s="8">
        <v>1225.8900000000001</v>
      </c>
      <c r="C26" s="8">
        <v>791.14</v>
      </c>
      <c r="D26" s="8">
        <v>619.12</v>
      </c>
      <c r="E26" s="8">
        <v>894.49</v>
      </c>
      <c r="F26" s="8">
        <v>291.08</v>
      </c>
      <c r="G26" s="8">
        <v>275.07</v>
      </c>
      <c r="H26" s="8">
        <v>428.08</v>
      </c>
      <c r="I26" s="9">
        <v>1564</v>
      </c>
      <c r="J26" s="9">
        <v>1401.84</v>
      </c>
      <c r="K26" s="9">
        <v>1456.27</v>
      </c>
      <c r="L26" s="9">
        <v>1204.67</v>
      </c>
      <c r="M26" s="9">
        <v>2080.48</v>
      </c>
      <c r="N26" s="9">
        <v>2028.05</v>
      </c>
      <c r="O26" s="9">
        <v>1253.74</v>
      </c>
      <c r="P26" s="8">
        <f t="shared" si="0"/>
        <v>646.41</v>
      </c>
      <c r="Q26" s="8">
        <f t="shared" si="1"/>
        <v>1569.8642857142856</v>
      </c>
      <c r="R26" s="8">
        <f t="shared" si="2"/>
        <v>2.4285891086373752</v>
      </c>
      <c r="S26" s="10">
        <f t="shared" si="3"/>
        <v>3.5021642708075838E-4</v>
      </c>
    </row>
    <row r="27" spans="1:19" x14ac:dyDescent="0.5">
      <c r="A27" s="8" t="s">
        <v>62</v>
      </c>
      <c r="B27" s="8">
        <v>430.47</v>
      </c>
      <c r="C27" s="8">
        <v>148.34</v>
      </c>
      <c r="D27" s="8">
        <v>161.85</v>
      </c>
      <c r="E27" s="8">
        <v>4.9359999999999999</v>
      </c>
      <c r="F27" s="8">
        <v>4.9359999999999999</v>
      </c>
      <c r="G27" s="8">
        <v>4.9359999999999999</v>
      </c>
      <c r="H27" s="8">
        <v>4.9359999999999999</v>
      </c>
      <c r="I27" s="9">
        <v>116.4</v>
      </c>
      <c r="J27" s="9">
        <v>207.47</v>
      </c>
      <c r="K27" s="9">
        <v>164.35</v>
      </c>
      <c r="L27" s="9">
        <v>271.29000000000002</v>
      </c>
      <c r="M27" s="9">
        <v>392.87</v>
      </c>
      <c r="N27" s="9">
        <v>273.25</v>
      </c>
      <c r="O27" s="9">
        <v>263.02999999999997</v>
      </c>
      <c r="P27" s="8">
        <f t="shared" si="0"/>
        <v>108.6291428571429</v>
      </c>
      <c r="Q27" s="8">
        <f t="shared" si="1"/>
        <v>241.23714285714286</v>
      </c>
      <c r="R27" s="8">
        <f t="shared" si="2"/>
        <v>2.220740553705661</v>
      </c>
      <c r="S27" s="10">
        <f t="shared" si="3"/>
        <v>7.807621106542828E-2</v>
      </c>
    </row>
    <row r="28" spans="1:19" x14ac:dyDescent="0.5">
      <c r="A28" s="8" t="s">
        <v>66</v>
      </c>
      <c r="B28" s="8">
        <v>36196.06</v>
      </c>
      <c r="C28" s="8">
        <v>30031</v>
      </c>
      <c r="D28" s="8">
        <v>29719.23</v>
      </c>
      <c r="E28" s="8">
        <v>30004.79</v>
      </c>
      <c r="F28" s="8">
        <v>29665.03</v>
      </c>
      <c r="G28" s="8">
        <v>23548.29</v>
      </c>
      <c r="H28" s="8">
        <v>32771.86</v>
      </c>
      <c r="I28" s="9">
        <v>67519.5</v>
      </c>
      <c r="J28" s="9">
        <v>54613.71</v>
      </c>
      <c r="K28" s="9">
        <v>69356.13</v>
      </c>
      <c r="L28" s="9">
        <v>54656.52</v>
      </c>
      <c r="M28" s="9">
        <v>66941.16</v>
      </c>
      <c r="N28" s="9">
        <v>67535.55</v>
      </c>
      <c r="O28" s="9">
        <v>75636.460000000006</v>
      </c>
      <c r="P28" s="8">
        <f t="shared" si="0"/>
        <v>30276.608571428573</v>
      </c>
      <c r="Q28" s="8">
        <f t="shared" si="1"/>
        <v>65179.861428571436</v>
      </c>
      <c r="R28" s="8">
        <f t="shared" si="2"/>
        <v>2.1528125012680701</v>
      </c>
      <c r="S28" s="10">
        <f t="shared" si="3"/>
        <v>1.7960462434754719E-7</v>
      </c>
    </row>
    <row r="29" spans="1:19" x14ac:dyDescent="0.5">
      <c r="A29" s="8" t="s">
        <v>50</v>
      </c>
      <c r="B29" s="8">
        <v>0.81</v>
      </c>
      <c r="C29" s="8">
        <v>1.74</v>
      </c>
      <c r="D29" s="8">
        <v>0.91</v>
      </c>
      <c r="E29" s="8">
        <v>1.21</v>
      </c>
      <c r="F29" s="8">
        <v>0.3</v>
      </c>
      <c r="G29" s="8">
        <v>0.46</v>
      </c>
      <c r="H29" s="8">
        <v>0.47</v>
      </c>
      <c r="I29" s="9">
        <v>1.38</v>
      </c>
      <c r="J29" s="9">
        <v>1.27</v>
      </c>
      <c r="K29" s="9">
        <v>2.44</v>
      </c>
      <c r="L29" s="9">
        <v>1.55</v>
      </c>
      <c r="M29" s="9">
        <v>1.68</v>
      </c>
      <c r="N29" s="9">
        <v>2.58</v>
      </c>
      <c r="O29" s="9">
        <v>1.77</v>
      </c>
      <c r="P29" s="8">
        <f t="shared" si="0"/>
        <v>0.84285714285714275</v>
      </c>
      <c r="Q29" s="8">
        <f t="shared" si="1"/>
        <v>1.81</v>
      </c>
      <c r="R29" s="8">
        <f t="shared" si="2"/>
        <v>2.1474576271186443</v>
      </c>
      <c r="S29" s="10">
        <f t="shared" si="3"/>
        <v>3.8339987881001038E-3</v>
      </c>
    </row>
    <row r="30" spans="1:19" x14ac:dyDescent="0.5">
      <c r="A30" s="8" t="s">
        <v>80</v>
      </c>
      <c r="B30" s="8">
        <v>266.63</v>
      </c>
      <c r="C30" s="8">
        <v>102.05</v>
      </c>
      <c r="D30" s="8">
        <v>185.57</v>
      </c>
      <c r="E30" s="8">
        <v>525.61</v>
      </c>
      <c r="F30" s="8">
        <v>11.93</v>
      </c>
      <c r="G30" s="8">
        <v>116.33</v>
      </c>
      <c r="H30" s="8">
        <v>27.78</v>
      </c>
      <c r="I30" s="9">
        <v>670.1</v>
      </c>
      <c r="J30" s="9">
        <v>388.53</v>
      </c>
      <c r="K30" s="9">
        <v>496.41</v>
      </c>
      <c r="L30" s="9">
        <v>256.99</v>
      </c>
      <c r="M30" s="9">
        <v>105.76</v>
      </c>
      <c r="N30" s="9">
        <v>303.67</v>
      </c>
      <c r="O30" s="9">
        <v>395.85</v>
      </c>
      <c r="P30" s="8">
        <f t="shared" si="0"/>
        <v>176.55714285714288</v>
      </c>
      <c r="Q30" s="8">
        <f t="shared" si="1"/>
        <v>373.90142857142854</v>
      </c>
      <c r="R30" s="8">
        <f t="shared" si="2"/>
        <v>2.1177360627882509</v>
      </c>
      <c r="S30" s="10">
        <f t="shared" si="3"/>
        <v>6.0878651478337292E-2</v>
      </c>
    </row>
    <row r="31" spans="1:19" x14ac:dyDescent="0.5">
      <c r="A31" s="8" t="s">
        <v>65</v>
      </c>
      <c r="B31" s="8">
        <v>265.79000000000002</v>
      </c>
      <c r="C31" s="8">
        <v>293.72000000000003</v>
      </c>
      <c r="D31" s="8">
        <v>449.66</v>
      </c>
      <c r="E31" s="8">
        <v>683.35</v>
      </c>
      <c r="F31" s="8">
        <v>297.66000000000003</v>
      </c>
      <c r="G31" s="8">
        <v>176.61</v>
      </c>
      <c r="H31" s="8">
        <v>185.5</v>
      </c>
      <c r="I31" s="9">
        <v>837.25</v>
      </c>
      <c r="J31" s="9">
        <v>477.96</v>
      </c>
      <c r="K31" s="9">
        <v>457.94</v>
      </c>
      <c r="L31" s="9">
        <v>807.3</v>
      </c>
      <c r="M31" s="9">
        <v>825.18</v>
      </c>
      <c r="N31" s="9">
        <v>795.88</v>
      </c>
      <c r="O31" s="9">
        <v>637.73</v>
      </c>
      <c r="P31" s="8">
        <f t="shared" si="0"/>
        <v>336.04142857142858</v>
      </c>
      <c r="Q31" s="8">
        <f t="shared" si="1"/>
        <v>691.31999999999994</v>
      </c>
      <c r="R31" s="8">
        <f t="shared" si="2"/>
        <v>2.0572463429254042</v>
      </c>
      <c r="S31" s="10">
        <f t="shared" si="3"/>
        <v>2.2790567583750973E-3</v>
      </c>
    </row>
    <row r="32" spans="1:19" x14ac:dyDescent="0.5">
      <c r="A32" s="8" t="s">
        <v>57</v>
      </c>
      <c r="B32" s="8">
        <v>1.29</v>
      </c>
      <c r="C32" s="8">
        <v>6.67</v>
      </c>
      <c r="D32" s="8">
        <v>0.35</v>
      </c>
      <c r="E32" s="8">
        <v>12.92</v>
      </c>
      <c r="F32" s="8">
        <v>1.37</v>
      </c>
      <c r="G32" s="8">
        <v>0.88</v>
      </c>
      <c r="H32" s="8">
        <v>1.07</v>
      </c>
      <c r="I32" s="9">
        <v>5.49</v>
      </c>
      <c r="J32" s="9">
        <v>5.94</v>
      </c>
      <c r="K32" s="9">
        <v>10.16</v>
      </c>
      <c r="L32" s="9">
        <v>5.65</v>
      </c>
      <c r="M32" s="9">
        <v>6.74</v>
      </c>
      <c r="N32" s="9">
        <v>7.54</v>
      </c>
      <c r="O32" s="9">
        <v>7.64</v>
      </c>
      <c r="P32" s="8">
        <f t="shared" si="0"/>
        <v>3.5071428571428571</v>
      </c>
      <c r="Q32" s="8">
        <f t="shared" si="1"/>
        <v>7.0228571428571431</v>
      </c>
      <c r="R32" s="8">
        <f t="shared" si="2"/>
        <v>2.0024439918533607</v>
      </c>
      <c r="S32" s="10">
        <f t="shared" si="3"/>
        <v>8.4593146324179636E-2</v>
      </c>
    </row>
    <row r="33" spans="1:19" x14ac:dyDescent="0.5">
      <c r="A33" s="8" t="s">
        <v>75</v>
      </c>
      <c r="B33" s="8">
        <v>405.34</v>
      </c>
      <c r="C33" s="8">
        <v>301.77999999999997</v>
      </c>
      <c r="D33" s="8">
        <v>251.92</v>
      </c>
      <c r="E33" s="8">
        <v>925.56</v>
      </c>
      <c r="F33" s="8">
        <v>252.16</v>
      </c>
      <c r="G33" s="8">
        <v>178.52</v>
      </c>
      <c r="H33" s="8">
        <v>147.44999999999999</v>
      </c>
      <c r="I33" s="9">
        <v>679.23</v>
      </c>
      <c r="J33" s="9">
        <v>923.35</v>
      </c>
      <c r="K33" s="9">
        <v>1034.79</v>
      </c>
      <c r="L33" s="9">
        <v>408.58</v>
      </c>
      <c r="M33" s="9">
        <v>354.96</v>
      </c>
      <c r="N33" s="9">
        <v>965.34</v>
      </c>
      <c r="O33" s="9">
        <v>516.01</v>
      </c>
      <c r="P33" s="8">
        <f t="shared" si="0"/>
        <v>351.81857142857137</v>
      </c>
      <c r="Q33" s="8">
        <f t="shared" si="1"/>
        <v>697.46571428571428</v>
      </c>
      <c r="R33" s="8">
        <f t="shared" si="2"/>
        <v>1.9824584911866103</v>
      </c>
      <c r="S33" s="10">
        <f t="shared" si="3"/>
        <v>3.5701401760904986E-2</v>
      </c>
    </row>
    <row r="34" spans="1:19" x14ac:dyDescent="0.5">
      <c r="A34" s="8" t="s">
        <v>76</v>
      </c>
      <c r="B34" s="8">
        <v>31.58</v>
      </c>
      <c r="C34" s="8">
        <v>20.72</v>
      </c>
      <c r="D34" s="8">
        <v>29.8</v>
      </c>
      <c r="E34" s="8">
        <v>182.09</v>
      </c>
      <c r="F34" s="8">
        <v>22.3</v>
      </c>
      <c r="G34" s="8">
        <v>24.63</v>
      </c>
      <c r="H34" s="8">
        <v>22.56</v>
      </c>
      <c r="I34" s="9">
        <v>96.95</v>
      </c>
      <c r="J34" s="9">
        <v>57.18</v>
      </c>
      <c r="K34" s="9">
        <v>84.1</v>
      </c>
      <c r="L34" s="9">
        <v>110.87</v>
      </c>
      <c r="M34" s="9">
        <v>52.44</v>
      </c>
      <c r="N34" s="9">
        <v>175.23</v>
      </c>
      <c r="O34" s="9">
        <v>82.96</v>
      </c>
      <c r="P34" s="8">
        <f t="shared" ref="P34:P65" si="4">AVERAGE(B34:H34)</f>
        <v>47.668571428571433</v>
      </c>
      <c r="Q34" s="8">
        <f t="shared" ref="Q34:Q65" si="5">AVERAGE(I34:O34)</f>
        <v>94.247142857142862</v>
      </c>
      <c r="R34" s="8">
        <f t="shared" ref="R34:R65" si="6">Q34/P34</f>
        <v>1.9771337808678973</v>
      </c>
      <c r="S34" s="10">
        <f t="shared" ref="S34:S65" si="7">_xlfn.T.TEST(B34:H34,I34:O34,2,2)</f>
        <v>0.11406220186323242</v>
      </c>
    </row>
    <row r="35" spans="1:19" x14ac:dyDescent="0.5">
      <c r="A35" s="8" t="s">
        <v>44</v>
      </c>
      <c r="B35" s="8">
        <v>3.98</v>
      </c>
      <c r="C35" s="8">
        <v>3.96</v>
      </c>
      <c r="D35" s="8">
        <v>0.11</v>
      </c>
      <c r="E35" s="8">
        <v>1.0999999999999999E-2</v>
      </c>
      <c r="F35" s="8">
        <v>1.0999999999999999E-2</v>
      </c>
      <c r="G35" s="8">
        <v>0.78</v>
      </c>
      <c r="H35" s="8">
        <v>0.33</v>
      </c>
      <c r="I35" s="9">
        <v>1</v>
      </c>
      <c r="J35" s="9">
        <v>1.0999999999999999E-2</v>
      </c>
      <c r="K35" s="9">
        <v>1.44</v>
      </c>
      <c r="L35" s="9">
        <v>3.07</v>
      </c>
      <c r="M35" s="9">
        <v>4.84</v>
      </c>
      <c r="N35" s="9">
        <v>3.27</v>
      </c>
      <c r="O35" s="9">
        <v>4.46</v>
      </c>
      <c r="P35" s="8">
        <f t="shared" si="4"/>
        <v>1.3117142857142852</v>
      </c>
      <c r="Q35" s="8">
        <f t="shared" si="5"/>
        <v>2.5844285714285711</v>
      </c>
      <c r="R35" s="8">
        <f t="shared" si="6"/>
        <v>1.9702679154868226</v>
      </c>
      <c r="S35" s="10">
        <f t="shared" si="7"/>
        <v>0.21643708828504823</v>
      </c>
    </row>
    <row r="36" spans="1:19" x14ac:dyDescent="0.5">
      <c r="A36" s="8" t="s">
        <v>73</v>
      </c>
      <c r="B36" s="8">
        <v>135.77000000000001</v>
      </c>
      <c r="C36" s="8">
        <v>106.11</v>
      </c>
      <c r="D36" s="8">
        <v>58.53</v>
      </c>
      <c r="E36" s="8">
        <v>111.45</v>
      </c>
      <c r="F36" s="8">
        <v>88.22</v>
      </c>
      <c r="G36" s="8">
        <v>56.65</v>
      </c>
      <c r="H36" s="8">
        <v>91.93</v>
      </c>
      <c r="I36" s="9">
        <v>167.17</v>
      </c>
      <c r="J36" s="9">
        <v>154.61000000000001</v>
      </c>
      <c r="K36" s="9">
        <v>187.19</v>
      </c>
      <c r="L36" s="9">
        <v>137.01</v>
      </c>
      <c r="M36" s="9">
        <v>332.31625000000003</v>
      </c>
      <c r="N36" s="9">
        <v>217.18</v>
      </c>
      <c r="O36" s="9">
        <v>74.25</v>
      </c>
      <c r="P36" s="8">
        <f t="shared" si="4"/>
        <v>92.665714285714259</v>
      </c>
      <c r="Q36" s="8">
        <f t="shared" si="5"/>
        <v>181.3894642857143</v>
      </c>
      <c r="R36" s="8">
        <f t="shared" si="6"/>
        <v>1.9574603798600199</v>
      </c>
      <c r="S36" s="10">
        <f t="shared" si="7"/>
        <v>1.7211399427671043E-2</v>
      </c>
    </row>
    <row r="37" spans="1:19" x14ac:dyDescent="0.5">
      <c r="A37" s="8" t="s">
        <v>56</v>
      </c>
      <c r="B37" s="8">
        <v>3007.92</v>
      </c>
      <c r="C37" s="8">
        <v>2393.98</v>
      </c>
      <c r="D37" s="8">
        <v>2361.1</v>
      </c>
      <c r="E37" s="8">
        <v>2391.2800000000002</v>
      </c>
      <c r="F37" s="8">
        <v>62.82</v>
      </c>
      <c r="G37" s="8">
        <v>675.63</v>
      </c>
      <c r="H37" s="8">
        <v>1500.81</v>
      </c>
      <c r="I37" s="9">
        <v>5387.65</v>
      </c>
      <c r="J37" s="9">
        <v>3737.2</v>
      </c>
      <c r="K37" s="9">
        <v>3762.8</v>
      </c>
      <c r="L37" s="9">
        <v>1884.23</v>
      </c>
      <c r="M37" s="9">
        <v>2859.11</v>
      </c>
      <c r="N37" s="9">
        <v>2827.34</v>
      </c>
      <c r="O37" s="9">
        <v>3730.11</v>
      </c>
      <c r="P37" s="8">
        <f t="shared" si="4"/>
        <v>1770.5057142857142</v>
      </c>
      <c r="Q37" s="8">
        <f t="shared" si="5"/>
        <v>3455.4914285714285</v>
      </c>
      <c r="R37" s="8">
        <f t="shared" si="6"/>
        <v>1.9516974165573355</v>
      </c>
      <c r="S37" s="10">
        <f t="shared" si="7"/>
        <v>1.2984799803243458E-2</v>
      </c>
    </row>
    <row r="38" spans="1:19" x14ac:dyDescent="0.5">
      <c r="A38" s="8" t="s">
        <v>61</v>
      </c>
      <c r="B38" s="8">
        <v>16807.18</v>
      </c>
      <c r="C38" s="8">
        <v>14549.52</v>
      </c>
      <c r="D38" s="8">
        <v>21030.85</v>
      </c>
      <c r="E38" s="8">
        <v>17160.060000000001</v>
      </c>
      <c r="F38" s="8">
        <v>22648.23</v>
      </c>
      <c r="G38" s="8">
        <v>12303.62</v>
      </c>
      <c r="H38" s="8">
        <v>3834.17</v>
      </c>
      <c r="I38" s="9">
        <v>31342.639999999999</v>
      </c>
      <c r="J38" s="9">
        <v>35136.76</v>
      </c>
      <c r="K38" s="9">
        <v>17134.22</v>
      </c>
      <c r="L38" s="9">
        <v>39888.86</v>
      </c>
      <c r="M38" s="9">
        <v>15431.94</v>
      </c>
      <c r="N38" s="9">
        <v>37766.65</v>
      </c>
      <c r="O38" s="9">
        <v>33742.03</v>
      </c>
      <c r="P38" s="8">
        <f t="shared" si="4"/>
        <v>15476.232857142855</v>
      </c>
      <c r="Q38" s="8">
        <f t="shared" si="5"/>
        <v>30063.299999999996</v>
      </c>
      <c r="R38" s="8">
        <f t="shared" si="6"/>
        <v>1.9425463727191639</v>
      </c>
      <c r="S38" s="10">
        <f t="shared" si="7"/>
        <v>6.1240746304806427E-3</v>
      </c>
    </row>
    <row r="39" spans="1:19" x14ac:dyDescent="0.5">
      <c r="A39" s="8" t="s">
        <v>71</v>
      </c>
      <c r="B39" s="8">
        <v>97.32</v>
      </c>
      <c r="C39" s="8">
        <v>138.51</v>
      </c>
      <c r="D39" s="8">
        <v>91.19</v>
      </c>
      <c r="E39" s="8">
        <v>34.28</v>
      </c>
      <c r="F39" s="8">
        <v>51.72</v>
      </c>
      <c r="G39" s="8">
        <v>52.29</v>
      </c>
      <c r="H39" s="8">
        <v>72.52</v>
      </c>
      <c r="I39" s="9">
        <v>144.69999999999999</v>
      </c>
      <c r="J39" s="9">
        <v>159.58000000000001</v>
      </c>
      <c r="K39" s="9">
        <v>152.69999999999999</v>
      </c>
      <c r="L39" s="9">
        <v>133.97999999999999</v>
      </c>
      <c r="M39" s="9">
        <v>173.02</v>
      </c>
      <c r="N39" s="9">
        <v>139.57</v>
      </c>
      <c r="O39" s="9">
        <v>130.28</v>
      </c>
      <c r="P39" s="8">
        <f t="shared" si="4"/>
        <v>76.832857142857151</v>
      </c>
      <c r="Q39" s="8">
        <f t="shared" si="5"/>
        <v>147.69</v>
      </c>
      <c r="R39" s="8">
        <f t="shared" si="6"/>
        <v>1.9222244947288174</v>
      </c>
      <c r="S39" s="10">
        <f t="shared" si="7"/>
        <v>3.8055974453645044E-4</v>
      </c>
    </row>
    <row r="40" spans="1:19" x14ac:dyDescent="0.5">
      <c r="A40" s="8" t="s">
        <v>43</v>
      </c>
      <c r="B40" s="8">
        <v>1521.49</v>
      </c>
      <c r="C40" s="8">
        <v>1023.82</v>
      </c>
      <c r="D40" s="8">
        <v>834.26</v>
      </c>
      <c r="E40" s="8">
        <v>23.298999999999999</v>
      </c>
      <c r="F40" s="8">
        <v>2415.9299999999998</v>
      </c>
      <c r="G40" s="8">
        <v>23.298999999999999</v>
      </c>
      <c r="H40" s="8">
        <v>232.99</v>
      </c>
      <c r="I40" s="9">
        <v>5064.1187499999996</v>
      </c>
      <c r="J40" s="9">
        <v>1233.1600000000001</v>
      </c>
      <c r="K40" s="9">
        <v>1163.29</v>
      </c>
      <c r="L40" s="9">
        <v>868.74</v>
      </c>
      <c r="M40" s="9">
        <v>2237.9699999999998</v>
      </c>
      <c r="N40" s="9">
        <v>430.96</v>
      </c>
      <c r="O40" s="9">
        <v>378.9</v>
      </c>
      <c r="P40" s="8">
        <f t="shared" si="4"/>
        <v>867.86971428571417</v>
      </c>
      <c r="Q40" s="8">
        <f t="shared" si="5"/>
        <v>1625.3055357142855</v>
      </c>
      <c r="R40" s="8">
        <f t="shared" si="6"/>
        <v>1.8727529132088292</v>
      </c>
      <c r="S40" s="10">
        <f t="shared" si="7"/>
        <v>0.30294189566167379</v>
      </c>
    </row>
    <row r="41" spans="1:19" x14ac:dyDescent="0.5">
      <c r="A41" s="8" t="s">
        <v>64</v>
      </c>
      <c r="B41" s="8">
        <v>1.8520000000000001</v>
      </c>
      <c r="C41" s="8">
        <v>44.52</v>
      </c>
      <c r="D41" s="8">
        <v>70.44</v>
      </c>
      <c r="E41" s="8">
        <v>1.8520000000000001</v>
      </c>
      <c r="F41" s="8">
        <v>297.81375000000003</v>
      </c>
      <c r="G41" s="8">
        <v>1.8520000000000001</v>
      </c>
      <c r="H41" s="8">
        <v>18.52</v>
      </c>
      <c r="I41" s="9">
        <v>297.81375000000003</v>
      </c>
      <c r="J41" s="9">
        <v>81.61</v>
      </c>
      <c r="K41" s="9">
        <v>63.11</v>
      </c>
      <c r="L41" s="9">
        <v>82.19</v>
      </c>
      <c r="M41" s="9">
        <v>77.819999999999993</v>
      </c>
      <c r="N41" s="9">
        <v>94.49</v>
      </c>
      <c r="O41" s="9">
        <v>116.09</v>
      </c>
      <c r="P41" s="8">
        <f t="shared" si="4"/>
        <v>62.407107142857136</v>
      </c>
      <c r="Q41" s="8">
        <f t="shared" si="5"/>
        <v>116.16053571428573</v>
      </c>
      <c r="R41" s="8">
        <f t="shared" si="6"/>
        <v>1.8613350471186036</v>
      </c>
      <c r="S41" s="10">
        <f t="shared" si="7"/>
        <v>0.31176704072022005</v>
      </c>
    </row>
    <row r="42" spans="1:19" x14ac:dyDescent="0.5">
      <c r="A42" s="8" t="s">
        <v>51</v>
      </c>
      <c r="B42" s="8">
        <v>851.31</v>
      </c>
      <c r="C42" s="8">
        <v>547.98</v>
      </c>
      <c r="D42" s="8">
        <v>793.82</v>
      </c>
      <c r="E42" s="8">
        <v>783.32</v>
      </c>
      <c r="F42" s="8">
        <v>872.65</v>
      </c>
      <c r="G42" s="8">
        <v>758.79</v>
      </c>
      <c r="H42" s="8">
        <v>836.87</v>
      </c>
      <c r="I42" s="9">
        <v>2082.9699999999998</v>
      </c>
      <c r="J42" s="9">
        <v>1128.26</v>
      </c>
      <c r="K42" s="9">
        <v>1815.17</v>
      </c>
      <c r="L42" s="9">
        <v>1234.9100000000001</v>
      </c>
      <c r="M42" s="9">
        <v>1321.09</v>
      </c>
      <c r="N42" s="9">
        <v>1129.01</v>
      </c>
      <c r="O42" s="9">
        <v>1309.1400000000001</v>
      </c>
      <c r="P42" s="8">
        <f t="shared" si="4"/>
        <v>777.82</v>
      </c>
      <c r="Q42" s="8">
        <f t="shared" si="5"/>
        <v>1431.5071428571428</v>
      </c>
      <c r="R42" s="8">
        <f t="shared" si="6"/>
        <v>1.8404092757413575</v>
      </c>
      <c r="S42" s="10">
        <f t="shared" si="7"/>
        <v>7.4599346406110175E-4</v>
      </c>
    </row>
    <row r="43" spans="1:19" x14ac:dyDescent="0.5">
      <c r="A43" s="8" t="s">
        <v>49</v>
      </c>
      <c r="B43" s="8">
        <v>5.0199999999999996</v>
      </c>
      <c r="C43" s="8">
        <v>12.65</v>
      </c>
      <c r="D43" s="8">
        <v>0.61</v>
      </c>
      <c r="E43" s="8">
        <v>1.41</v>
      </c>
      <c r="F43" s="8">
        <v>0.7</v>
      </c>
      <c r="G43" s="8">
        <v>1</v>
      </c>
      <c r="H43" s="8">
        <v>1.94</v>
      </c>
      <c r="I43" s="9">
        <v>11.42</v>
      </c>
      <c r="J43" s="9">
        <v>4.1100000000000003</v>
      </c>
      <c r="K43" s="9">
        <v>7.16</v>
      </c>
      <c r="L43" s="9">
        <v>3.87</v>
      </c>
      <c r="M43" s="9">
        <v>4.13</v>
      </c>
      <c r="N43" s="9">
        <v>6.35</v>
      </c>
      <c r="O43" s="9">
        <v>5.28</v>
      </c>
      <c r="P43" s="8">
        <f t="shared" si="4"/>
        <v>3.3328571428571432</v>
      </c>
      <c r="Q43" s="8">
        <f t="shared" si="5"/>
        <v>6.0457142857142854</v>
      </c>
      <c r="R43" s="8">
        <f t="shared" si="6"/>
        <v>1.8139734247749675</v>
      </c>
      <c r="S43" s="10">
        <f t="shared" si="7"/>
        <v>0.18726053970010811</v>
      </c>
    </row>
    <row r="44" spans="1:19" x14ac:dyDescent="0.5">
      <c r="A44" s="8" t="s">
        <v>41</v>
      </c>
      <c r="B44" s="8">
        <v>2935.86</v>
      </c>
      <c r="C44" s="8">
        <v>2850.79</v>
      </c>
      <c r="D44" s="8">
        <v>18643.02</v>
      </c>
      <c r="E44" s="8">
        <v>2222.5500000000002</v>
      </c>
      <c r="F44" s="8">
        <v>8880.93</v>
      </c>
      <c r="G44" s="8">
        <v>1807.57</v>
      </c>
      <c r="H44" s="8">
        <v>975.28</v>
      </c>
      <c r="I44" s="9">
        <v>9178.9599999999991</v>
      </c>
      <c r="J44" s="9">
        <v>10232.040000000001</v>
      </c>
      <c r="K44" s="9">
        <v>15742.21</v>
      </c>
      <c r="L44" s="9">
        <v>3292.95</v>
      </c>
      <c r="M44" s="9">
        <v>4022.48</v>
      </c>
      <c r="N44" s="9">
        <v>22913.66</v>
      </c>
      <c r="O44" s="9">
        <v>2696.99</v>
      </c>
      <c r="P44" s="8">
        <f t="shared" si="4"/>
        <v>5473.7142857142844</v>
      </c>
      <c r="Q44" s="8">
        <f t="shared" si="5"/>
        <v>9725.612857142858</v>
      </c>
      <c r="R44" s="8">
        <f t="shared" si="6"/>
        <v>1.7767848940390443</v>
      </c>
      <c r="S44" s="10">
        <f t="shared" si="7"/>
        <v>0.27351704605017885</v>
      </c>
    </row>
    <row r="45" spans="1:19" x14ac:dyDescent="0.5">
      <c r="A45" s="8" t="s">
        <v>54</v>
      </c>
      <c r="B45" s="8">
        <v>10231.36</v>
      </c>
      <c r="C45" s="8">
        <v>13752.5</v>
      </c>
      <c r="D45" s="8">
        <v>10220.23</v>
      </c>
      <c r="E45" s="8">
        <v>7105.81</v>
      </c>
      <c r="F45" s="8">
        <v>3546.16</v>
      </c>
      <c r="G45" s="8">
        <v>5340.5</v>
      </c>
      <c r="H45" s="8">
        <v>234.364</v>
      </c>
      <c r="I45" s="9">
        <v>13690.92</v>
      </c>
      <c r="J45" s="9">
        <v>8986.65</v>
      </c>
      <c r="K45" s="9">
        <v>13555.27</v>
      </c>
      <c r="L45" s="9">
        <v>14267.77</v>
      </c>
      <c r="M45" s="9">
        <v>15999.36</v>
      </c>
      <c r="N45" s="9">
        <v>13415.14</v>
      </c>
      <c r="O45" s="9">
        <v>9634.52</v>
      </c>
      <c r="P45" s="8">
        <f t="shared" si="4"/>
        <v>7204.4177142857143</v>
      </c>
      <c r="Q45" s="8">
        <f t="shared" si="5"/>
        <v>12792.804285714286</v>
      </c>
      <c r="R45" s="8">
        <f t="shared" si="6"/>
        <v>1.7756888610646913</v>
      </c>
      <c r="S45" s="10">
        <f t="shared" si="7"/>
        <v>1.5543012748378122E-2</v>
      </c>
    </row>
    <row r="46" spans="1:19" x14ac:dyDescent="0.5">
      <c r="A46" s="8" t="s">
        <v>63</v>
      </c>
      <c r="B46" s="8">
        <v>6.36</v>
      </c>
      <c r="C46" s="8">
        <v>10.06</v>
      </c>
      <c r="D46" s="8">
        <v>4.13</v>
      </c>
      <c r="E46" s="8">
        <v>6.71</v>
      </c>
      <c r="F46" s="8">
        <v>2.72</v>
      </c>
      <c r="G46" s="8">
        <v>1.82</v>
      </c>
      <c r="H46" s="8">
        <v>3.21</v>
      </c>
      <c r="I46" s="9">
        <v>10.7</v>
      </c>
      <c r="J46" s="9">
        <v>6.63</v>
      </c>
      <c r="K46" s="9">
        <v>12.14</v>
      </c>
      <c r="L46" s="9">
        <v>6.79</v>
      </c>
      <c r="M46" s="9">
        <v>8.65</v>
      </c>
      <c r="N46" s="9">
        <v>7.85</v>
      </c>
      <c r="O46" s="9">
        <v>9.23</v>
      </c>
      <c r="P46" s="8">
        <f t="shared" si="4"/>
        <v>5.0014285714285709</v>
      </c>
      <c r="Q46" s="8">
        <f t="shared" si="5"/>
        <v>8.855714285714285</v>
      </c>
      <c r="R46" s="8">
        <f t="shared" si="6"/>
        <v>1.7706369608683235</v>
      </c>
      <c r="S46" s="10">
        <f t="shared" si="7"/>
        <v>1.3356606052014322E-2</v>
      </c>
    </row>
    <row r="47" spans="1:19" x14ac:dyDescent="0.5">
      <c r="A47" s="8" t="s">
        <v>83</v>
      </c>
      <c r="B47" s="8">
        <v>0.38</v>
      </c>
      <c r="C47" s="8">
        <v>29.57</v>
      </c>
      <c r="D47" s="8">
        <v>3.7999999999999999E-2</v>
      </c>
      <c r="E47" s="8">
        <v>12.52</v>
      </c>
      <c r="F47" s="8">
        <v>3.7999999999999999E-2</v>
      </c>
      <c r="G47" s="8">
        <v>3.7999999999999999E-2</v>
      </c>
      <c r="H47" s="8">
        <v>60.396250000000002</v>
      </c>
      <c r="I47" s="9">
        <v>60.396250000000002</v>
      </c>
      <c r="J47" s="9">
        <v>18.97</v>
      </c>
      <c r="K47" s="9">
        <v>13.83</v>
      </c>
      <c r="L47" s="9">
        <v>21.65</v>
      </c>
      <c r="M47" s="9">
        <v>18.04</v>
      </c>
      <c r="N47" s="9">
        <v>31.81</v>
      </c>
      <c r="O47" s="9">
        <v>17.21</v>
      </c>
      <c r="P47" s="8">
        <f t="shared" si="4"/>
        <v>14.711464285714284</v>
      </c>
      <c r="Q47" s="8">
        <f t="shared" si="5"/>
        <v>25.986607142857142</v>
      </c>
      <c r="R47" s="8">
        <f t="shared" si="6"/>
        <v>1.7664188036055459</v>
      </c>
      <c r="S47" s="10">
        <f t="shared" si="7"/>
        <v>0.30932554411869034</v>
      </c>
    </row>
    <row r="48" spans="1:19" x14ac:dyDescent="0.5">
      <c r="A48" s="8" t="s">
        <v>82</v>
      </c>
      <c r="B48" s="8">
        <v>465.55</v>
      </c>
      <c r="C48" s="8">
        <v>574.88</v>
      </c>
      <c r="D48" s="8">
        <v>397.47</v>
      </c>
      <c r="E48" s="8">
        <v>747.42</v>
      </c>
      <c r="F48" s="8">
        <v>433.07</v>
      </c>
      <c r="G48" s="8">
        <v>341.89</v>
      </c>
      <c r="H48" s="8">
        <v>227.83</v>
      </c>
      <c r="I48" s="9">
        <v>1396.38</v>
      </c>
      <c r="J48" s="9">
        <v>995.92</v>
      </c>
      <c r="K48" s="9">
        <v>534.16999999999996</v>
      </c>
      <c r="L48" s="9">
        <v>333.97</v>
      </c>
      <c r="M48" s="9">
        <v>792.33</v>
      </c>
      <c r="N48" s="9">
        <v>498.47</v>
      </c>
      <c r="O48" s="9">
        <v>802.98</v>
      </c>
      <c r="P48" s="8">
        <f t="shared" si="4"/>
        <v>455.44428571428574</v>
      </c>
      <c r="Q48" s="8">
        <f t="shared" si="5"/>
        <v>764.88857142857159</v>
      </c>
      <c r="R48" s="8">
        <f t="shared" si="6"/>
        <v>1.6794338965719504</v>
      </c>
      <c r="S48" s="10">
        <f t="shared" si="7"/>
        <v>5.9961166143821756E-2</v>
      </c>
    </row>
    <row r="49" spans="1:19" x14ac:dyDescent="0.5">
      <c r="A49" s="8" t="s">
        <v>72</v>
      </c>
      <c r="B49" s="8">
        <v>6.9</v>
      </c>
      <c r="C49" s="8">
        <v>12.08</v>
      </c>
      <c r="D49" s="8">
        <v>4.71</v>
      </c>
      <c r="E49" s="8">
        <v>20.967500000000001</v>
      </c>
      <c r="F49" s="8">
        <v>3.85</v>
      </c>
      <c r="G49" s="8">
        <v>3.2275</v>
      </c>
      <c r="H49" s="8">
        <v>3.57</v>
      </c>
      <c r="I49" s="9">
        <v>10.47</v>
      </c>
      <c r="J49" s="9">
        <v>10.6</v>
      </c>
      <c r="K49" s="9">
        <v>19.88</v>
      </c>
      <c r="L49" s="9">
        <v>11.57</v>
      </c>
      <c r="M49" s="9">
        <v>12.75</v>
      </c>
      <c r="N49" s="9">
        <v>13.46</v>
      </c>
      <c r="O49" s="9">
        <v>13.86</v>
      </c>
      <c r="P49" s="8">
        <f t="shared" si="4"/>
        <v>7.9007142857142858</v>
      </c>
      <c r="Q49" s="8">
        <f t="shared" si="5"/>
        <v>13.22714285714286</v>
      </c>
      <c r="R49" s="8">
        <f t="shared" si="6"/>
        <v>1.6741705089955705</v>
      </c>
      <c r="S49" s="10">
        <f t="shared" si="7"/>
        <v>7.7048752334047316E-2</v>
      </c>
    </row>
    <row r="50" spans="1:19" x14ac:dyDescent="0.5">
      <c r="A50" s="8" t="s">
        <v>79</v>
      </c>
      <c r="B50" s="8">
        <v>52.82</v>
      </c>
      <c r="C50" s="8">
        <v>61.49</v>
      </c>
      <c r="D50" s="8">
        <v>0.65</v>
      </c>
      <c r="E50" s="8">
        <v>0.65</v>
      </c>
      <c r="F50" s="8">
        <v>0.65</v>
      </c>
      <c r="G50" s="8">
        <v>6.56</v>
      </c>
      <c r="H50" s="8">
        <v>0.65</v>
      </c>
      <c r="I50" s="9">
        <v>102.92</v>
      </c>
      <c r="J50" s="9">
        <v>8.9499999999999993</v>
      </c>
      <c r="K50" s="9">
        <v>0.65</v>
      </c>
      <c r="L50" s="9">
        <v>12.12</v>
      </c>
      <c r="M50" s="9">
        <v>41.91</v>
      </c>
      <c r="N50" s="9">
        <v>16.47</v>
      </c>
      <c r="O50" s="9">
        <v>22.73</v>
      </c>
      <c r="P50" s="8">
        <f t="shared" si="4"/>
        <v>17.638571428571431</v>
      </c>
      <c r="Q50" s="8">
        <f t="shared" si="5"/>
        <v>29.392857142857142</v>
      </c>
      <c r="R50" s="8">
        <f t="shared" si="6"/>
        <v>1.6663966955535754</v>
      </c>
      <c r="S50" s="10">
        <f t="shared" si="7"/>
        <v>0.49570048142953904</v>
      </c>
    </row>
    <row r="51" spans="1:19" x14ac:dyDescent="0.5">
      <c r="A51" s="8" t="s">
        <v>70</v>
      </c>
      <c r="B51" s="8">
        <v>9.6999999999999993</v>
      </c>
      <c r="C51" s="8">
        <v>19.91</v>
      </c>
      <c r="D51" s="8">
        <v>3.38</v>
      </c>
      <c r="E51" s="8">
        <v>2.75</v>
      </c>
      <c r="F51" s="8">
        <v>3.15</v>
      </c>
      <c r="G51" s="8">
        <v>3.81</v>
      </c>
      <c r="H51" s="8">
        <v>1.92</v>
      </c>
      <c r="I51" s="9">
        <v>30.32</v>
      </c>
      <c r="J51" s="9">
        <v>9.2100000000000009</v>
      </c>
      <c r="K51" s="9">
        <v>5.53</v>
      </c>
      <c r="L51" s="9">
        <v>5.32</v>
      </c>
      <c r="M51" s="9">
        <v>6.02</v>
      </c>
      <c r="N51" s="9">
        <v>12.84</v>
      </c>
      <c r="O51" s="9">
        <v>4.47</v>
      </c>
      <c r="P51" s="8">
        <f t="shared" si="4"/>
        <v>6.3742857142857146</v>
      </c>
      <c r="Q51" s="8">
        <f t="shared" si="5"/>
        <v>10.530000000000001</v>
      </c>
      <c r="R51" s="8">
        <f t="shared" si="6"/>
        <v>1.6519497982967279</v>
      </c>
      <c r="S51" s="10">
        <f t="shared" si="7"/>
        <v>0.34822954783913329</v>
      </c>
    </row>
    <row r="52" spans="1:19" x14ac:dyDescent="0.5">
      <c r="A52" s="8" t="s">
        <v>69</v>
      </c>
      <c r="B52" s="8">
        <v>840.89</v>
      </c>
      <c r="C52" s="8">
        <v>520.36</v>
      </c>
      <c r="D52" s="8">
        <v>841.64</v>
      </c>
      <c r="E52" s="8">
        <v>1015.73</v>
      </c>
      <c r="F52" s="8">
        <v>698.27</v>
      </c>
      <c r="G52" s="8">
        <v>242.74</v>
      </c>
      <c r="H52" s="8">
        <v>593.03</v>
      </c>
      <c r="I52" s="9">
        <v>1239.48</v>
      </c>
      <c r="J52" s="9">
        <v>1261.07</v>
      </c>
      <c r="K52" s="9">
        <v>936.13</v>
      </c>
      <c r="L52" s="9">
        <v>850.77</v>
      </c>
      <c r="M52" s="9">
        <v>861.61</v>
      </c>
      <c r="N52" s="9">
        <v>1324.33</v>
      </c>
      <c r="O52" s="9">
        <v>1366.24</v>
      </c>
      <c r="P52" s="8">
        <f t="shared" si="4"/>
        <v>678.95142857142855</v>
      </c>
      <c r="Q52" s="8">
        <f t="shared" si="5"/>
        <v>1119.9471428571428</v>
      </c>
      <c r="R52" s="8">
        <f t="shared" si="6"/>
        <v>1.649524687227784</v>
      </c>
      <c r="S52" s="10">
        <f t="shared" si="7"/>
        <v>5.0919029166790423E-3</v>
      </c>
    </row>
    <row r="53" spans="1:19" x14ac:dyDescent="0.5">
      <c r="A53" s="8" t="s">
        <v>78</v>
      </c>
      <c r="B53" s="8">
        <v>219.97</v>
      </c>
      <c r="C53" s="8">
        <v>512.97</v>
      </c>
      <c r="D53" s="8">
        <v>332.45</v>
      </c>
      <c r="E53" s="8">
        <v>43.32</v>
      </c>
      <c r="F53" s="8">
        <v>212.97</v>
      </c>
      <c r="G53" s="8">
        <v>141.37</v>
      </c>
      <c r="H53" s="8">
        <v>221.05</v>
      </c>
      <c r="I53" s="9">
        <v>321.52999999999997</v>
      </c>
      <c r="J53" s="9">
        <v>317.02</v>
      </c>
      <c r="K53" s="9">
        <v>357.76</v>
      </c>
      <c r="L53" s="9">
        <v>503.61</v>
      </c>
      <c r="M53" s="9">
        <v>440.96</v>
      </c>
      <c r="N53" s="9">
        <v>373.95</v>
      </c>
      <c r="O53" s="9">
        <v>402.76</v>
      </c>
      <c r="P53" s="8">
        <f t="shared" si="4"/>
        <v>240.58571428571432</v>
      </c>
      <c r="Q53" s="8">
        <f t="shared" si="5"/>
        <v>388.22714285714289</v>
      </c>
      <c r="R53" s="8">
        <f t="shared" si="6"/>
        <v>1.6136749599192446</v>
      </c>
      <c r="S53" s="10">
        <f t="shared" si="7"/>
        <v>3.3967824836896574E-2</v>
      </c>
    </row>
    <row r="54" spans="1:19" x14ac:dyDescent="0.5">
      <c r="A54" s="8" t="s">
        <v>127</v>
      </c>
      <c r="B54" s="8">
        <v>376.38</v>
      </c>
      <c r="C54" s="8">
        <v>735</v>
      </c>
      <c r="D54" s="8">
        <v>341.4</v>
      </c>
      <c r="E54" s="8">
        <v>261.06</v>
      </c>
      <c r="F54" s="8">
        <v>535.84</v>
      </c>
      <c r="G54" s="8">
        <v>189.79</v>
      </c>
      <c r="H54" s="8">
        <v>387.97</v>
      </c>
      <c r="I54" s="9">
        <v>1147.8162500000001</v>
      </c>
      <c r="J54" s="9">
        <v>275.77</v>
      </c>
      <c r="K54" s="9">
        <v>323.68</v>
      </c>
      <c r="L54" s="9">
        <v>274.73</v>
      </c>
      <c r="M54" s="9">
        <v>708.62</v>
      </c>
      <c r="N54" s="9">
        <v>1147.8162500000001</v>
      </c>
      <c r="O54" s="9">
        <v>626.41</v>
      </c>
      <c r="P54" s="8">
        <f t="shared" si="4"/>
        <v>403.92000000000007</v>
      </c>
      <c r="Q54" s="8">
        <f t="shared" si="5"/>
        <v>643.54892857142852</v>
      </c>
      <c r="R54" s="8">
        <f t="shared" si="6"/>
        <v>1.5932583892142711</v>
      </c>
      <c r="S54" s="10">
        <f t="shared" si="7"/>
        <v>0.161781485127446</v>
      </c>
    </row>
    <row r="55" spans="1:19" x14ac:dyDescent="0.5">
      <c r="A55" s="8" t="s">
        <v>85</v>
      </c>
      <c r="B55" s="8">
        <v>6732.8</v>
      </c>
      <c r="C55" s="8">
        <v>6996.98</v>
      </c>
      <c r="D55" s="8">
        <v>6406.75</v>
      </c>
      <c r="E55" s="8">
        <v>7167.43</v>
      </c>
      <c r="F55" s="8">
        <v>5920.13</v>
      </c>
      <c r="G55" s="8">
        <v>5579.12</v>
      </c>
      <c r="H55" s="8">
        <v>5367.58</v>
      </c>
      <c r="I55" s="9">
        <v>11766.54</v>
      </c>
      <c r="J55" s="9">
        <v>10017.83</v>
      </c>
      <c r="K55" s="9">
        <v>8844.2900000000009</v>
      </c>
      <c r="L55" s="9">
        <v>9522.16</v>
      </c>
      <c r="M55" s="9">
        <v>10043.86</v>
      </c>
      <c r="N55" s="9">
        <v>9597.52</v>
      </c>
      <c r="O55" s="9">
        <v>10523.41</v>
      </c>
      <c r="P55" s="8">
        <f t="shared" si="4"/>
        <v>6310.1128571428571</v>
      </c>
      <c r="Q55" s="8">
        <f t="shared" si="5"/>
        <v>10045.087142857144</v>
      </c>
      <c r="R55" s="8">
        <f t="shared" si="6"/>
        <v>1.5919029295151843</v>
      </c>
      <c r="S55" s="10">
        <f t="shared" si="7"/>
        <v>1.9706730443715494E-6</v>
      </c>
    </row>
    <row r="56" spans="1:19" x14ac:dyDescent="0.5">
      <c r="A56" s="8" t="s">
        <v>84</v>
      </c>
      <c r="B56" s="8">
        <v>1408.31</v>
      </c>
      <c r="C56" s="8">
        <v>714.86</v>
      </c>
      <c r="D56" s="8">
        <v>824.93</v>
      </c>
      <c r="E56" s="8">
        <v>177.31</v>
      </c>
      <c r="F56" s="8">
        <v>1491.23</v>
      </c>
      <c r="G56" s="8">
        <v>1137.6400000000001</v>
      </c>
      <c r="H56" s="8">
        <v>473.89</v>
      </c>
      <c r="I56" s="9">
        <v>1777.06</v>
      </c>
      <c r="J56" s="9">
        <v>1405.09</v>
      </c>
      <c r="K56" s="9">
        <v>1548.8</v>
      </c>
      <c r="L56" s="9">
        <v>1797.14</v>
      </c>
      <c r="M56" s="9">
        <v>962.31</v>
      </c>
      <c r="N56" s="9">
        <v>1512.37</v>
      </c>
      <c r="O56" s="9">
        <v>643.38</v>
      </c>
      <c r="P56" s="8">
        <f t="shared" si="4"/>
        <v>889.73857142857139</v>
      </c>
      <c r="Q56" s="8">
        <f t="shared" si="5"/>
        <v>1378.0214285714285</v>
      </c>
      <c r="R56" s="8">
        <f t="shared" si="6"/>
        <v>1.5487936263782138</v>
      </c>
      <c r="S56" s="10">
        <f t="shared" si="7"/>
        <v>6.862483463967646E-2</v>
      </c>
    </row>
    <row r="57" spans="1:19" x14ac:dyDescent="0.5">
      <c r="A57" s="8" t="s">
        <v>139</v>
      </c>
      <c r="B57" s="8">
        <v>12.34</v>
      </c>
      <c r="C57" s="8">
        <v>17.98</v>
      </c>
      <c r="D57" s="8">
        <v>6.45</v>
      </c>
      <c r="E57" s="8">
        <v>29</v>
      </c>
      <c r="F57" s="8">
        <v>2.4500000000000002</v>
      </c>
      <c r="G57" s="8">
        <v>2.7E-2</v>
      </c>
      <c r="H57" s="8">
        <v>8.42</v>
      </c>
      <c r="I57" s="9">
        <v>46.433750000000003</v>
      </c>
      <c r="J57" s="9">
        <v>0.4</v>
      </c>
      <c r="K57" s="9">
        <v>6.89</v>
      </c>
      <c r="L57" s="9">
        <v>46.433750000000003</v>
      </c>
      <c r="M57" s="9">
        <v>5.9</v>
      </c>
      <c r="N57" s="9">
        <v>8.76</v>
      </c>
      <c r="O57" s="9">
        <v>3.37</v>
      </c>
      <c r="P57" s="8">
        <f t="shared" si="4"/>
        <v>10.952428571428573</v>
      </c>
      <c r="Q57" s="8">
        <f t="shared" si="5"/>
        <v>16.883928571428573</v>
      </c>
      <c r="R57" s="8">
        <f t="shared" si="6"/>
        <v>1.5415693844809368</v>
      </c>
      <c r="S57" s="10">
        <f t="shared" si="7"/>
        <v>0.50189252025377007</v>
      </c>
    </row>
    <row r="58" spans="1:19" x14ac:dyDescent="0.5">
      <c r="A58" s="8" t="s">
        <v>92</v>
      </c>
      <c r="B58" s="8">
        <v>216.41</v>
      </c>
      <c r="C58" s="8">
        <v>310.58</v>
      </c>
      <c r="D58" s="8">
        <v>150.24</v>
      </c>
      <c r="E58" s="8">
        <v>182.38</v>
      </c>
      <c r="F58" s="8">
        <v>185.24</v>
      </c>
      <c r="G58" s="8">
        <v>225.27</v>
      </c>
      <c r="H58" s="8">
        <v>48.88</v>
      </c>
      <c r="I58" s="9">
        <v>332.81</v>
      </c>
      <c r="J58" s="9">
        <v>94.03</v>
      </c>
      <c r="K58" s="9">
        <v>501.74</v>
      </c>
      <c r="L58" s="9">
        <v>206.78</v>
      </c>
      <c r="M58" s="9">
        <v>359.66</v>
      </c>
      <c r="N58" s="9">
        <v>211.83</v>
      </c>
      <c r="O58" s="9">
        <v>315.51</v>
      </c>
      <c r="P58" s="8">
        <f t="shared" si="4"/>
        <v>188.42857142857142</v>
      </c>
      <c r="Q58" s="8">
        <f t="shared" si="5"/>
        <v>288.90857142857146</v>
      </c>
      <c r="R58" s="8">
        <f t="shared" si="6"/>
        <v>1.53325246398787</v>
      </c>
      <c r="S58" s="10">
        <f t="shared" si="7"/>
        <v>0.10919511054014222</v>
      </c>
    </row>
    <row r="59" spans="1:19" x14ac:dyDescent="0.5">
      <c r="A59" s="8" t="s">
        <v>94</v>
      </c>
      <c r="B59" s="8">
        <v>94.98</v>
      </c>
      <c r="C59" s="8">
        <v>37.42</v>
      </c>
      <c r="D59" s="8">
        <v>56.86</v>
      </c>
      <c r="E59" s="8">
        <v>255.6875</v>
      </c>
      <c r="F59" s="8">
        <v>20.78</v>
      </c>
      <c r="G59" s="8">
        <v>34.229999999999997</v>
      </c>
      <c r="H59" s="8">
        <v>21.99</v>
      </c>
      <c r="I59" s="9">
        <v>126.2</v>
      </c>
      <c r="J59" s="9">
        <v>120.09</v>
      </c>
      <c r="K59" s="9">
        <v>210.3</v>
      </c>
      <c r="L59" s="9">
        <v>54.66</v>
      </c>
      <c r="M59" s="9">
        <v>68.430000000000007</v>
      </c>
      <c r="N59" s="9">
        <v>156.19999999999999</v>
      </c>
      <c r="O59" s="9">
        <v>64.09</v>
      </c>
      <c r="P59" s="8">
        <f t="shared" si="4"/>
        <v>74.563928571428576</v>
      </c>
      <c r="Q59" s="8">
        <f t="shared" si="5"/>
        <v>114.28142857142859</v>
      </c>
      <c r="R59" s="8">
        <f t="shared" si="6"/>
        <v>1.532663725757859</v>
      </c>
      <c r="S59" s="10">
        <f t="shared" si="7"/>
        <v>0.31986999185617188</v>
      </c>
    </row>
    <row r="60" spans="1:19" x14ac:dyDescent="0.5">
      <c r="A60" s="8" t="s">
        <v>104</v>
      </c>
      <c r="B60" s="8">
        <v>13658.12</v>
      </c>
      <c r="C60" s="8">
        <v>13018.39</v>
      </c>
      <c r="D60" s="8">
        <v>10124.65</v>
      </c>
      <c r="E60" s="8">
        <v>12101.56</v>
      </c>
      <c r="F60" s="8">
        <v>12725.84</v>
      </c>
      <c r="G60" s="8">
        <v>7485.99</v>
      </c>
      <c r="H60" s="8">
        <v>9618.75</v>
      </c>
      <c r="I60" s="9">
        <v>20048.47</v>
      </c>
      <c r="J60" s="9">
        <v>15518.52</v>
      </c>
      <c r="K60" s="9">
        <v>16014.14</v>
      </c>
      <c r="L60" s="9">
        <v>15633.57</v>
      </c>
      <c r="M60" s="9">
        <v>16462.59</v>
      </c>
      <c r="N60" s="9">
        <v>17767.560000000001</v>
      </c>
      <c r="O60" s="9">
        <v>17847.490000000002</v>
      </c>
      <c r="P60" s="8">
        <f t="shared" si="4"/>
        <v>11247.614285714286</v>
      </c>
      <c r="Q60" s="8">
        <f t="shared" si="5"/>
        <v>17041.762857142858</v>
      </c>
      <c r="R60" s="8">
        <f t="shared" si="6"/>
        <v>1.5151446719494801</v>
      </c>
      <c r="S60" s="10">
        <f t="shared" si="7"/>
        <v>1.2649537566161657E-4</v>
      </c>
    </row>
    <row r="61" spans="1:19" x14ac:dyDescent="0.5">
      <c r="A61" s="8" t="s">
        <v>103</v>
      </c>
      <c r="B61" s="8">
        <v>73.44</v>
      </c>
      <c r="C61" s="8">
        <v>41.96</v>
      </c>
      <c r="D61" s="8">
        <v>38.1</v>
      </c>
      <c r="E61" s="8">
        <v>157.65</v>
      </c>
      <c r="F61" s="8">
        <v>35.28</v>
      </c>
      <c r="G61" s="8">
        <v>22.67</v>
      </c>
      <c r="H61" s="8">
        <v>10.41</v>
      </c>
      <c r="I61" s="9">
        <v>55.43</v>
      </c>
      <c r="J61" s="9">
        <v>112.37</v>
      </c>
      <c r="K61" s="9">
        <v>161.15</v>
      </c>
      <c r="L61" s="9">
        <v>42.82</v>
      </c>
      <c r="M61" s="9">
        <v>26.44</v>
      </c>
      <c r="N61" s="9">
        <v>112.46</v>
      </c>
      <c r="O61" s="9">
        <v>54.37</v>
      </c>
      <c r="P61" s="8">
        <f t="shared" si="4"/>
        <v>54.215714285714284</v>
      </c>
      <c r="Q61" s="8">
        <f t="shared" si="5"/>
        <v>80.72</v>
      </c>
      <c r="R61" s="8">
        <f t="shared" si="6"/>
        <v>1.4888672235250717</v>
      </c>
      <c r="S61" s="10">
        <f t="shared" si="7"/>
        <v>0.33261106597791212</v>
      </c>
    </row>
    <row r="62" spans="1:19" x14ac:dyDescent="0.5">
      <c r="A62" s="8" t="s">
        <v>68</v>
      </c>
      <c r="B62" s="8">
        <v>6.49</v>
      </c>
      <c r="C62" s="8">
        <v>29.946249999999999</v>
      </c>
      <c r="D62" s="8">
        <v>7.6999999999999999E-2</v>
      </c>
      <c r="E62" s="8">
        <v>2.2799999999999998</v>
      </c>
      <c r="F62" s="8">
        <v>7.6999999999999999E-2</v>
      </c>
      <c r="G62" s="8">
        <v>1.48</v>
      </c>
      <c r="H62" s="8">
        <v>2.5099999999999998</v>
      </c>
      <c r="I62" s="9">
        <v>29.946249999999999</v>
      </c>
      <c r="J62" s="9">
        <v>4.46</v>
      </c>
      <c r="K62" s="9">
        <v>6.55</v>
      </c>
      <c r="L62" s="9">
        <v>5.07</v>
      </c>
      <c r="M62" s="9">
        <v>4.58</v>
      </c>
      <c r="N62" s="9">
        <v>5.65</v>
      </c>
      <c r="O62" s="9">
        <v>6.76</v>
      </c>
      <c r="P62" s="8">
        <f t="shared" si="4"/>
        <v>6.1228928571428565</v>
      </c>
      <c r="Q62" s="8">
        <f t="shared" si="5"/>
        <v>9.0023214285714275</v>
      </c>
      <c r="R62" s="8">
        <f t="shared" si="6"/>
        <v>1.4702725719052034</v>
      </c>
      <c r="S62" s="10">
        <f t="shared" si="7"/>
        <v>0.60096037600348073</v>
      </c>
    </row>
    <row r="63" spans="1:19" x14ac:dyDescent="0.5">
      <c r="A63" s="8" t="s">
        <v>100</v>
      </c>
      <c r="B63" s="8">
        <v>357.66</v>
      </c>
      <c r="C63" s="8">
        <v>153.22</v>
      </c>
      <c r="D63" s="8">
        <v>196.61</v>
      </c>
      <c r="E63" s="8">
        <v>164.92</v>
      </c>
      <c r="F63" s="8">
        <v>712.16499999999996</v>
      </c>
      <c r="G63" s="8">
        <v>3.1230000000000002</v>
      </c>
      <c r="H63" s="8">
        <v>31.23</v>
      </c>
      <c r="I63" s="9">
        <v>282.88</v>
      </c>
      <c r="J63" s="9">
        <v>315.08</v>
      </c>
      <c r="K63" s="9">
        <v>384.16</v>
      </c>
      <c r="L63" s="9">
        <v>141.12</v>
      </c>
      <c r="M63" s="9">
        <v>591.95000000000005</v>
      </c>
      <c r="N63" s="9">
        <v>261.3</v>
      </c>
      <c r="O63" s="9">
        <v>376.18</v>
      </c>
      <c r="P63" s="8">
        <f t="shared" si="4"/>
        <v>231.27542857142856</v>
      </c>
      <c r="Q63" s="8">
        <f t="shared" si="5"/>
        <v>336.09571428571428</v>
      </c>
      <c r="R63" s="8">
        <f t="shared" si="6"/>
        <v>1.4532270737179172</v>
      </c>
      <c r="S63" s="10">
        <f t="shared" si="7"/>
        <v>0.33994592006148561</v>
      </c>
    </row>
    <row r="64" spans="1:19" x14ac:dyDescent="0.5">
      <c r="A64" s="8" t="s">
        <v>106</v>
      </c>
      <c r="B64" s="8">
        <v>430.22</v>
      </c>
      <c r="C64" s="8">
        <v>293.27999999999997</v>
      </c>
      <c r="D64" s="8">
        <v>424.65</v>
      </c>
      <c r="E64" s="8">
        <v>307.01</v>
      </c>
      <c r="F64" s="8">
        <v>258.52999999999997</v>
      </c>
      <c r="G64" s="8">
        <v>304.49</v>
      </c>
      <c r="H64" s="8">
        <v>1236.7562499999999</v>
      </c>
      <c r="I64" s="9">
        <v>1236.7562499999999</v>
      </c>
      <c r="J64" s="9">
        <v>658.89</v>
      </c>
      <c r="K64" s="9">
        <v>1184.1400000000001</v>
      </c>
      <c r="L64" s="9">
        <v>173.88</v>
      </c>
      <c r="M64" s="9">
        <v>726.19</v>
      </c>
      <c r="N64" s="9">
        <v>141.75</v>
      </c>
      <c r="O64" s="9">
        <v>552.20000000000005</v>
      </c>
      <c r="P64" s="8">
        <f t="shared" si="4"/>
        <v>464.9908928571428</v>
      </c>
      <c r="Q64" s="8">
        <f t="shared" si="5"/>
        <v>667.68660714285727</v>
      </c>
      <c r="R64" s="8">
        <f t="shared" si="6"/>
        <v>1.4359132993772157</v>
      </c>
      <c r="S64" s="10">
        <f t="shared" si="7"/>
        <v>0.35310232199911584</v>
      </c>
    </row>
    <row r="65" spans="1:19" x14ac:dyDescent="0.5">
      <c r="A65" s="8" t="s">
        <v>67</v>
      </c>
      <c r="B65" s="8">
        <v>672.29</v>
      </c>
      <c r="C65" s="8">
        <v>611.21</v>
      </c>
      <c r="D65" s="8">
        <v>494.28</v>
      </c>
      <c r="E65" s="8">
        <v>360.15</v>
      </c>
      <c r="F65" s="8">
        <v>1003.97</v>
      </c>
      <c r="G65" s="8">
        <v>501.87</v>
      </c>
      <c r="H65" s="8">
        <v>759.96</v>
      </c>
      <c r="I65" s="9">
        <v>2301.58</v>
      </c>
      <c r="J65" s="9">
        <v>393.5</v>
      </c>
      <c r="K65" s="9">
        <v>492.7</v>
      </c>
      <c r="L65" s="9">
        <v>354.36</v>
      </c>
      <c r="M65" s="9">
        <v>1143.6099999999999</v>
      </c>
      <c r="N65" s="9">
        <v>554.35</v>
      </c>
      <c r="O65" s="9">
        <v>1075.8599999999999</v>
      </c>
      <c r="P65" s="8">
        <f t="shared" si="4"/>
        <v>629.10428571428565</v>
      </c>
      <c r="Q65" s="8">
        <f t="shared" si="5"/>
        <v>902.28</v>
      </c>
      <c r="R65" s="8">
        <f t="shared" si="6"/>
        <v>1.4342296189820902</v>
      </c>
      <c r="S65" s="10">
        <f t="shared" si="7"/>
        <v>0.33901029537691152</v>
      </c>
    </row>
    <row r="66" spans="1:19" x14ac:dyDescent="0.5">
      <c r="A66" s="8" t="s">
        <v>117</v>
      </c>
      <c r="B66" s="8">
        <v>76.959999999999994</v>
      </c>
      <c r="C66" s="8">
        <v>44.27</v>
      </c>
      <c r="D66" s="8">
        <v>9.35</v>
      </c>
      <c r="E66" s="8">
        <v>20.75</v>
      </c>
      <c r="F66" s="8">
        <v>18.850000000000001</v>
      </c>
      <c r="G66" s="8">
        <v>10.83</v>
      </c>
      <c r="H66" s="8">
        <v>15.39</v>
      </c>
      <c r="I66" s="9">
        <v>81.793750000000003</v>
      </c>
      <c r="J66" s="9">
        <v>30.82</v>
      </c>
      <c r="K66" s="9">
        <v>31.9</v>
      </c>
      <c r="L66" s="9">
        <v>27.11</v>
      </c>
      <c r="M66" s="9">
        <v>29.64</v>
      </c>
      <c r="N66" s="9">
        <v>46.72</v>
      </c>
      <c r="O66" s="9">
        <v>32.46</v>
      </c>
      <c r="P66" s="8">
        <f t="shared" ref="P66:P82" si="8">AVERAGE(B66:H66)</f>
        <v>28.057142857142853</v>
      </c>
      <c r="Q66" s="8">
        <f t="shared" ref="Q66:Q97" si="9">AVERAGE(I66:O66)</f>
        <v>40.063392857142858</v>
      </c>
      <c r="R66" s="8">
        <f t="shared" ref="R66:R97" si="10">Q66/P66</f>
        <v>1.4279213340122201</v>
      </c>
      <c r="S66" s="10">
        <f t="shared" ref="S66:S97" si="11">_xlfn.T.TEST(B66:H66,I66:O66,2,2)</f>
        <v>0.32994007553982707</v>
      </c>
    </row>
    <row r="67" spans="1:19" x14ac:dyDescent="0.5">
      <c r="A67" s="8" t="s">
        <v>129</v>
      </c>
      <c r="B67" s="8">
        <v>203.46</v>
      </c>
      <c r="C67" s="8">
        <v>222.16</v>
      </c>
      <c r="D67" s="8">
        <v>22.48</v>
      </c>
      <c r="E67" s="8">
        <v>24.14</v>
      </c>
      <c r="F67" s="8">
        <v>46.17</v>
      </c>
      <c r="G67" s="8">
        <v>22.89</v>
      </c>
      <c r="H67" s="8">
        <v>48.71</v>
      </c>
      <c r="I67" s="9">
        <v>277.89375000000001</v>
      </c>
      <c r="J67" s="9">
        <v>49.32</v>
      </c>
      <c r="K67" s="9">
        <v>118.32</v>
      </c>
      <c r="L67" s="9">
        <v>123.68</v>
      </c>
      <c r="M67" s="9">
        <v>89.67</v>
      </c>
      <c r="N67" s="9">
        <v>78.3</v>
      </c>
      <c r="O67" s="9">
        <v>104.55</v>
      </c>
      <c r="P67" s="8">
        <f t="shared" si="8"/>
        <v>84.287142857142854</v>
      </c>
      <c r="Q67" s="8">
        <f t="shared" si="9"/>
        <v>120.24767857142855</v>
      </c>
      <c r="R67" s="8">
        <f t="shared" si="10"/>
        <v>1.4266431924882628</v>
      </c>
      <c r="S67" s="10">
        <f t="shared" si="11"/>
        <v>0.42597084154871989</v>
      </c>
    </row>
    <row r="68" spans="1:19" x14ac:dyDescent="0.5">
      <c r="A68" s="8" t="s">
        <v>99</v>
      </c>
      <c r="B68" s="8">
        <v>444.54</v>
      </c>
      <c r="C68" s="8">
        <v>221.07</v>
      </c>
      <c r="D68" s="8">
        <v>169.47</v>
      </c>
      <c r="E68" s="8">
        <v>144.9</v>
      </c>
      <c r="F68" s="8">
        <v>197.03</v>
      </c>
      <c r="G68" s="8">
        <v>131.15</v>
      </c>
      <c r="H68" s="8">
        <v>229.83</v>
      </c>
      <c r="I68" s="9">
        <v>541.11</v>
      </c>
      <c r="J68" s="9">
        <v>208.4</v>
      </c>
      <c r="K68" s="9">
        <v>240.27</v>
      </c>
      <c r="L68" s="9">
        <v>348.46</v>
      </c>
      <c r="M68" s="9">
        <v>343.37</v>
      </c>
      <c r="N68" s="9">
        <v>184.25</v>
      </c>
      <c r="O68" s="9">
        <v>308.62</v>
      </c>
      <c r="P68" s="8">
        <f t="shared" si="8"/>
        <v>219.71285714285713</v>
      </c>
      <c r="Q68" s="8">
        <f t="shared" si="9"/>
        <v>310.64</v>
      </c>
      <c r="R68" s="8">
        <f t="shared" si="10"/>
        <v>1.4138453435978127</v>
      </c>
      <c r="S68" s="10">
        <f t="shared" si="11"/>
        <v>0.15920997952997906</v>
      </c>
    </row>
    <row r="69" spans="1:19" x14ac:dyDescent="0.5">
      <c r="A69" s="8" t="s">
        <v>114</v>
      </c>
      <c r="B69" s="8">
        <v>392.44</v>
      </c>
      <c r="C69" s="8">
        <v>485.92</v>
      </c>
      <c r="D69" s="8">
        <v>352.13</v>
      </c>
      <c r="E69" s="8">
        <v>441.21</v>
      </c>
      <c r="F69" s="8">
        <v>357.63</v>
      </c>
      <c r="G69" s="8">
        <v>281.85000000000002</v>
      </c>
      <c r="H69" s="8">
        <v>273.92</v>
      </c>
      <c r="I69" s="9">
        <v>584.9</v>
      </c>
      <c r="J69" s="9">
        <v>481.12</v>
      </c>
      <c r="K69" s="9">
        <v>421.44</v>
      </c>
      <c r="L69" s="9">
        <v>628.03</v>
      </c>
      <c r="M69" s="9">
        <v>491.84</v>
      </c>
      <c r="N69" s="9">
        <v>599.84</v>
      </c>
      <c r="O69" s="9">
        <v>435.2</v>
      </c>
      <c r="P69" s="8">
        <f t="shared" si="8"/>
        <v>369.3</v>
      </c>
      <c r="Q69" s="8">
        <f t="shared" si="9"/>
        <v>520.33857142857141</v>
      </c>
      <c r="R69" s="8">
        <f t="shared" si="10"/>
        <v>1.408986112722912</v>
      </c>
      <c r="S69" s="10">
        <f t="shared" si="11"/>
        <v>4.3339132625742774E-3</v>
      </c>
    </row>
    <row r="70" spans="1:19" x14ac:dyDescent="0.5">
      <c r="A70" s="8" t="s">
        <v>93</v>
      </c>
      <c r="B70" s="8">
        <v>2183.1999999999998</v>
      </c>
      <c r="C70" s="8">
        <v>2672.37</v>
      </c>
      <c r="D70" s="8">
        <v>1822.13</v>
      </c>
      <c r="E70" s="8">
        <v>2411.9699999999998</v>
      </c>
      <c r="F70" s="8">
        <v>2612.16</v>
      </c>
      <c r="G70" s="8">
        <v>1242.1300000000001</v>
      </c>
      <c r="H70" s="8">
        <v>1457.46</v>
      </c>
      <c r="I70" s="9">
        <v>3929.36</v>
      </c>
      <c r="J70" s="9">
        <v>1399.68</v>
      </c>
      <c r="K70" s="9">
        <v>2954.04</v>
      </c>
      <c r="L70" s="9">
        <v>1625.8</v>
      </c>
      <c r="M70" s="9">
        <v>3710.34</v>
      </c>
      <c r="N70" s="9">
        <v>2204.2399999999998</v>
      </c>
      <c r="O70" s="9">
        <v>4380.05</v>
      </c>
      <c r="P70" s="8">
        <f t="shared" si="8"/>
        <v>2057.3457142857142</v>
      </c>
      <c r="Q70" s="8">
        <f t="shared" si="9"/>
        <v>2886.2157142857141</v>
      </c>
      <c r="R70" s="8">
        <f t="shared" si="10"/>
        <v>1.4028831879078592</v>
      </c>
      <c r="S70" s="10">
        <f t="shared" si="11"/>
        <v>0.11798135242424357</v>
      </c>
    </row>
    <row r="71" spans="1:19" x14ac:dyDescent="0.5">
      <c r="A71" s="8" t="s">
        <v>120</v>
      </c>
      <c r="B71" s="8">
        <v>12877.3</v>
      </c>
      <c r="C71" s="8">
        <v>8583.35</v>
      </c>
      <c r="D71" s="8">
        <v>7065.52</v>
      </c>
      <c r="E71" s="8">
        <v>4004.86</v>
      </c>
      <c r="F71" s="8">
        <v>9181.36</v>
      </c>
      <c r="G71" s="8">
        <v>5417.71</v>
      </c>
      <c r="H71" s="8">
        <v>4328.6000000000004</v>
      </c>
      <c r="I71" s="9">
        <v>19074.53</v>
      </c>
      <c r="J71" s="9">
        <v>4000</v>
      </c>
      <c r="K71" s="9">
        <v>9582.19</v>
      </c>
      <c r="L71" s="9">
        <v>5559.24</v>
      </c>
      <c r="M71" s="9">
        <v>14285.78</v>
      </c>
      <c r="N71" s="9">
        <v>8300.7099999999991</v>
      </c>
      <c r="O71" s="9">
        <v>11244.22</v>
      </c>
      <c r="P71" s="8">
        <f t="shared" si="8"/>
        <v>7351.2428571428563</v>
      </c>
      <c r="Q71" s="8">
        <f t="shared" si="9"/>
        <v>10292.381428571429</v>
      </c>
      <c r="R71" s="8">
        <f t="shared" si="10"/>
        <v>1.4000872544389968</v>
      </c>
      <c r="S71" s="10">
        <f t="shared" si="11"/>
        <v>0.22302233467523955</v>
      </c>
    </row>
    <row r="72" spans="1:19" x14ac:dyDescent="0.5">
      <c r="A72" s="8" t="s">
        <v>86</v>
      </c>
      <c r="B72" s="8">
        <v>2231.14</v>
      </c>
      <c r="C72" s="8">
        <v>1790.17</v>
      </c>
      <c r="D72" s="8">
        <v>1078.83</v>
      </c>
      <c r="E72" s="8">
        <v>956.62</v>
      </c>
      <c r="F72" s="8">
        <v>1845.39</v>
      </c>
      <c r="G72" s="8">
        <v>1154.6500000000001</v>
      </c>
      <c r="H72" s="8">
        <v>1160.44</v>
      </c>
      <c r="I72" s="9">
        <v>2589.58</v>
      </c>
      <c r="J72" s="9">
        <v>721.09</v>
      </c>
      <c r="K72" s="9">
        <v>1406.41</v>
      </c>
      <c r="L72" s="9">
        <v>2171.23</v>
      </c>
      <c r="M72" s="9">
        <v>2052.4</v>
      </c>
      <c r="N72" s="9">
        <v>3118.12</v>
      </c>
      <c r="O72" s="9">
        <v>2128.17</v>
      </c>
      <c r="P72" s="8">
        <f t="shared" si="8"/>
        <v>1459.6057142857142</v>
      </c>
      <c r="Q72" s="8">
        <f t="shared" si="9"/>
        <v>2026.7142857142856</v>
      </c>
      <c r="R72" s="8">
        <f t="shared" si="10"/>
        <v>1.3885354557590897</v>
      </c>
      <c r="S72" s="10">
        <f t="shared" si="11"/>
        <v>0.1283373467619783</v>
      </c>
    </row>
    <row r="73" spans="1:19" x14ac:dyDescent="0.5">
      <c r="A73" s="8" t="s">
        <v>89</v>
      </c>
      <c r="B73" s="8">
        <v>407.35</v>
      </c>
      <c r="C73" s="8">
        <v>526.95000000000005</v>
      </c>
      <c r="D73" s="8">
        <v>771.25</v>
      </c>
      <c r="E73" s="8">
        <v>954.68</v>
      </c>
      <c r="F73" s="8">
        <v>1087.07</v>
      </c>
      <c r="G73" s="8">
        <v>615.91</v>
      </c>
      <c r="H73" s="8">
        <v>438.65</v>
      </c>
      <c r="I73" s="9">
        <v>1261.28</v>
      </c>
      <c r="J73" s="9">
        <v>919.93</v>
      </c>
      <c r="K73" s="9">
        <v>886.8</v>
      </c>
      <c r="L73" s="9">
        <v>937.17</v>
      </c>
      <c r="M73" s="9">
        <v>821.73</v>
      </c>
      <c r="N73" s="9">
        <v>1150.6600000000001</v>
      </c>
      <c r="O73" s="9">
        <v>684.38</v>
      </c>
      <c r="P73" s="8">
        <f t="shared" si="8"/>
        <v>685.9799999999999</v>
      </c>
      <c r="Q73" s="8">
        <f t="shared" si="9"/>
        <v>951.7071428571428</v>
      </c>
      <c r="R73" s="8">
        <f t="shared" si="10"/>
        <v>1.387368644650198</v>
      </c>
      <c r="S73" s="10">
        <f t="shared" si="11"/>
        <v>5.2169654291907328E-2</v>
      </c>
    </row>
    <row r="74" spans="1:19" x14ac:dyDescent="0.5">
      <c r="A74" s="8" t="s">
        <v>88</v>
      </c>
      <c r="B74" s="8">
        <v>108.22</v>
      </c>
      <c r="C74" s="8">
        <v>104.17</v>
      </c>
      <c r="D74" s="8">
        <v>81.06</v>
      </c>
      <c r="E74" s="8">
        <v>126.35</v>
      </c>
      <c r="F74" s="8">
        <v>155.66999999999999</v>
      </c>
      <c r="G74" s="8">
        <v>85.79</v>
      </c>
      <c r="H74" s="8">
        <v>115.37</v>
      </c>
      <c r="I74" s="9">
        <v>318.43</v>
      </c>
      <c r="J74" s="9">
        <v>52.28</v>
      </c>
      <c r="K74" s="9">
        <v>205.02</v>
      </c>
      <c r="L74" s="9">
        <v>82.86</v>
      </c>
      <c r="M74" s="9">
        <v>143.26</v>
      </c>
      <c r="N74" s="9">
        <v>114.84</v>
      </c>
      <c r="O74" s="9">
        <v>147.99</v>
      </c>
      <c r="P74" s="8">
        <f t="shared" si="8"/>
        <v>110.94714285714284</v>
      </c>
      <c r="Q74" s="8">
        <f t="shared" si="9"/>
        <v>152.09714285714287</v>
      </c>
      <c r="R74" s="8">
        <f t="shared" si="10"/>
        <v>1.3708973385009597</v>
      </c>
      <c r="S74" s="10">
        <f t="shared" si="11"/>
        <v>0.25849771980819181</v>
      </c>
    </row>
    <row r="75" spans="1:19" x14ac:dyDescent="0.5">
      <c r="A75" s="8" t="s">
        <v>95</v>
      </c>
      <c r="B75" s="8">
        <v>42320.72</v>
      </c>
      <c r="C75" s="8">
        <v>53179.38</v>
      </c>
      <c r="D75" s="8">
        <v>52326.42</v>
      </c>
      <c r="E75" s="8">
        <v>13168.76</v>
      </c>
      <c r="F75" s="8">
        <v>37457.78</v>
      </c>
      <c r="G75" s="8">
        <v>31738.71</v>
      </c>
      <c r="H75" s="8">
        <v>32519.99</v>
      </c>
      <c r="I75" s="9">
        <v>46383.02</v>
      </c>
      <c r="J75" s="9">
        <v>48772.47</v>
      </c>
      <c r="K75" s="9">
        <v>46944.17</v>
      </c>
      <c r="L75" s="9">
        <v>55278.97</v>
      </c>
      <c r="M75" s="9">
        <v>52715.95</v>
      </c>
      <c r="N75" s="9">
        <v>56070.25</v>
      </c>
      <c r="O75" s="9">
        <v>52950.07</v>
      </c>
      <c r="P75" s="8">
        <f t="shared" si="8"/>
        <v>37530.251428571428</v>
      </c>
      <c r="Q75" s="8">
        <f t="shared" si="9"/>
        <v>51302.12857142857</v>
      </c>
      <c r="R75" s="8">
        <f t="shared" si="10"/>
        <v>1.3669540335765706</v>
      </c>
      <c r="S75" s="10">
        <f t="shared" si="11"/>
        <v>2.5793106951634483E-2</v>
      </c>
    </row>
    <row r="76" spans="1:19" x14ac:dyDescent="0.5">
      <c r="A76" s="8" t="s">
        <v>101</v>
      </c>
      <c r="B76" s="8">
        <v>1091.28</v>
      </c>
      <c r="C76" s="8">
        <v>1974.32</v>
      </c>
      <c r="D76" s="8">
        <v>1397.25</v>
      </c>
      <c r="E76" s="8">
        <v>391.07</v>
      </c>
      <c r="F76" s="8">
        <v>2689.99</v>
      </c>
      <c r="G76" s="8">
        <v>1383.6</v>
      </c>
      <c r="H76" s="8">
        <v>1038.3</v>
      </c>
      <c r="I76" s="9">
        <v>3234.25</v>
      </c>
      <c r="J76" s="9">
        <v>685.61</v>
      </c>
      <c r="K76" s="9">
        <v>1279.0899999999999</v>
      </c>
      <c r="L76" s="9">
        <v>1851.44</v>
      </c>
      <c r="M76" s="9">
        <v>1719.87</v>
      </c>
      <c r="N76" s="9">
        <v>3032.7</v>
      </c>
      <c r="O76" s="9">
        <v>1637.68</v>
      </c>
      <c r="P76" s="8">
        <f t="shared" si="8"/>
        <v>1423.6871428571428</v>
      </c>
      <c r="Q76" s="8">
        <f t="shared" si="9"/>
        <v>1920.0914285714284</v>
      </c>
      <c r="R76" s="8">
        <f t="shared" si="10"/>
        <v>1.3486751202360872</v>
      </c>
      <c r="S76" s="10">
        <f t="shared" si="11"/>
        <v>0.28485374612320724</v>
      </c>
    </row>
    <row r="77" spans="1:19" x14ac:dyDescent="0.5">
      <c r="A77" s="8" t="s">
        <v>113</v>
      </c>
      <c r="B77" s="8">
        <v>14692.16</v>
      </c>
      <c r="C77" s="8">
        <v>13132.54</v>
      </c>
      <c r="D77" s="8">
        <v>18824.05</v>
      </c>
      <c r="E77" s="8">
        <v>35717.83</v>
      </c>
      <c r="F77" s="8">
        <v>39985.699999999997</v>
      </c>
      <c r="G77" s="8">
        <v>21649.02</v>
      </c>
      <c r="H77" s="8">
        <v>18309.36</v>
      </c>
      <c r="I77" s="9">
        <v>53342.23</v>
      </c>
      <c r="J77" s="9">
        <v>14717.45</v>
      </c>
      <c r="K77" s="9">
        <v>19645.04</v>
      </c>
      <c r="L77" s="9">
        <v>19063.490000000002</v>
      </c>
      <c r="M77" s="9">
        <v>33454.720000000001</v>
      </c>
      <c r="N77" s="9">
        <v>18140.55</v>
      </c>
      <c r="O77" s="9">
        <v>59350.52</v>
      </c>
      <c r="P77" s="8">
        <f t="shared" si="8"/>
        <v>23187.237142857139</v>
      </c>
      <c r="Q77" s="8">
        <f t="shared" si="9"/>
        <v>31101.999999999996</v>
      </c>
      <c r="R77" s="8">
        <f t="shared" si="10"/>
        <v>1.3413413512088486</v>
      </c>
      <c r="S77" s="10">
        <f t="shared" si="11"/>
        <v>0.34032875445162947</v>
      </c>
    </row>
    <row r="78" spans="1:19" x14ac:dyDescent="0.5">
      <c r="A78" s="8" t="s">
        <v>74</v>
      </c>
      <c r="B78" s="8">
        <v>1266.6099999999999</v>
      </c>
      <c r="C78" s="8">
        <v>382.84</v>
      </c>
      <c r="D78" s="8">
        <v>304.20999999999998</v>
      </c>
      <c r="E78" s="8">
        <v>368.69</v>
      </c>
      <c r="F78" s="8">
        <v>594.39</v>
      </c>
      <c r="G78" s="8">
        <v>462.85</v>
      </c>
      <c r="H78" s="8">
        <v>673.79</v>
      </c>
      <c r="I78" s="9">
        <v>914.33</v>
      </c>
      <c r="J78" s="9">
        <v>898.27</v>
      </c>
      <c r="K78" s="9">
        <v>797.86</v>
      </c>
      <c r="L78" s="9">
        <v>295.60000000000002</v>
      </c>
      <c r="M78" s="9">
        <v>719.67</v>
      </c>
      <c r="N78" s="9">
        <v>870.25</v>
      </c>
      <c r="O78" s="9">
        <v>938.98</v>
      </c>
      <c r="P78" s="8">
        <f t="shared" si="8"/>
        <v>579.0542857142857</v>
      </c>
      <c r="Q78" s="8">
        <f t="shared" si="9"/>
        <v>776.42285714285697</v>
      </c>
      <c r="R78" s="8">
        <f t="shared" si="10"/>
        <v>1.3408464047288926</v>
      </c>
      <c r="S78" s="10">
        <f t="shared" si="11"/>
        <v>0.21569273182023185</v>
      </c>
    </row>
    <row r="79" spans="1:19" s="11" customFormat="1" x14ac:dyDescent="0.5">
      <c r="A79" s="8" t="s">
        <v>81</v>
      </c>
      <c r="B79" s="8">
        <v>789.69</v>
      </c>
      <c r="C79" s="8">
        <v>721.59</v>
      </c>
      <c r="D79" s="8">
        <v>484.52</v>
      </c>
      <c r="E79" s="8">
        <v>369.34</v>
      </c>
      <c r="F79" s="8">
        <v>1926.89</v>
      </c>
      <c r="G79" s="8">
        <v>585.21</v>
      </c>
      <c r="H79" s="8">
        <v>767.16</v>
      </c>
      <c r="I79" s="9">
        <v>3105.5625</v>
      </c>
      <c r="J79" s="9">
        <v>365.92</v>
      </c>
      <c r="K79" s="9">
        <v>691.19</v>
      </c>
      <c r="L79" s="9">
        <v>466.82</v>
      </c>
      <c r="M79" s="9">
        <v>976.18</v>
      </c>
      <c r="N79" s="9">
        <v>696.67</v>
      </c>
      <c r="O79" s="9">
        <v>1117.8900000000001</v>
      </c>
      <c r="P79" s="8">
        <f t="shared" si="8"/>
        <v>806.34285714285727</v>
      </c>
      <c r="Q79" s="8">
        <f t="shared" si="9"/>
        <v>1060.0332142857144</v>
      </c>
      <c r="R79" s="8">
        <f t="shared" si="10"/>
        <v>1.3146184714052866</v>
      </c>
      <c r="S79" s="10">
        <f t="shared" si="11"/>
        <v>0.54322957390017501</v>
      </c>
    </row>
    <row r="80" spans="1:19" x14ac:dyDescent="0.5">
      <c r="A80" s="8" t="s">
        <v>90</v>
      </c>
      <c r="B80" s="8">
        <v>5135.46</v>
      </c>
      <c r="C80" s="8">
        <v>3087.51</v>
      </c>
      <c r="D80" s="8">
        <v>4257.9399999999996</v>
      </c>
      <c r="E80" s="8">
        <v>6366.68</v>
      </c>
      <c r="F80" s="8">
        <v>5296.63</v>
      </c>
      <c r="G80" s="8">
        <v>3558.75</v>
      </c>
      <c r="H80" s="8">
        <v>2390.91</v>
      </c>
      <c r="I80" s="9">
        <v>4341.1899999999996</v>
      </c>
      <c r="J80" s="9">
        <v>2408.9699999999998</v>
      </c>
      <c r="K80" s="9">
        <v>3734.33</v>
      </c>
      <c r="L80" s="9">
        <v>9225.1</v>
      </c>
      <c r="M80" s="9">
        <v>6204.83</v>
      </c>
      <c r="N80" s="9">
        <v>3767.76</v>
      </c>
      <c r="O80" s="9">
        <v>8984.49</v>
      </c>
      <c r="P80" s="8">
        <f t="shared" si="8"/>
        <v>4299.1257142857148</v>
      </c>
      <c r="Q80" s="8">
        <f t="shared" si="9"/>
        <v>5523.8099999999995</v>
      </c>
      <c r="R80" s="8">
        <f t="shared" si="10"/>
        <v>1.2848682190531759</v>
      </c>
      <c r="S80" s="10">
        <f t="shared" si="11"/>
        <v>0.30623062751824842</v>
      </c>
    </row>
    <row r="81" spans="1:19" x14ac:dyDescent="0.5">
      <c r="A81" s="8" t="s">
        <v>110</v>
      </c>
      <c r="B81" s="8">
        <v>3168.3</v>
      </c>
      <c r="C81" s="8">
        <v>3454.08</v>
      </c>
      <c r="D81" s="8">
        <v>3529.9</v>
      </c>
      <c r="E81" s="8">
        <v>2939.93</v>
      </c>
      <c r="F81" s="8">
        <v>3205.29</v>
      </c>
      <c r="G81" s="8">
        <v>3396.5</v>
      </c>
      <c r="H81" s="8">
        <v>3876.64</v>
      </c>
      <c r="I81" s="9">
        <v>3737.78</v>
      </c>
      <c r="J81" s="9">
        <v>4181.33</v>
      </c>
      <c r="K81" s="9">
        <v>4382.29</v>
      </c>
      <c r="L81" s="9">
        <v>5148.08</v>
      </c>
      <c r="M81" s="9">
        <v>4242.57</v>
      </c>
      <c r="N81" s="9">
        <v>3915.17</v>
      </c>
      <c r="O81" s="9">
        <v>3613.48</v>
      </c>
      <c r="P81" s="8">
        <f t="shared" si="8"/>
        <v>3367.2342857142858</v>
      </c>
      <c r="Q81" s="8">
        <f t="shared" si="9"/>
        <v>4174.3857142857141</v>
      </c>
      <c r="R81" s="8">
        <f t="shared" si="10"/>
        <v>1.2397075344581223</v>
      </c>
      <c r="S81" s="10">
        <f t="shared" si="11"/>
        <v>3.6450878526330657E-3</v>
      </c>
    </row>
    <row r="82" spans="1:19" x14ac:dyDescent="0.5">
      <c r="A82" s="8" t="s">
        <v>98</v>
      </c>
      <c r="B82" s="8">
        <v>2939.37</v>
      </c>
      <c r="C82" s="8">
        <v>1846.94</v>
      </c>
      <c r="D82" s="8">
        <v>1907.42</v>
      </c>
      <c r="E82" s="8">
        <v>7452.5</v>
      </c>
      <c r="F82" s="8">
        <v>1870.46</v>
      </c>
      <c r="G82" s="8">
        <v>1489.99</v>
      </c>
      <c r="H82" s="8">
        <v>1138.22</v>
      </c>
      <c r="I82" s="9">
        <v>2788.89</v>
      </c>
      <c r="J82" s="9">
        <v>4448.8</v>
      </c>
      <c r="K82" s="9">
        <v>4276.8100000000004</v>
      </c>
      <c r="L82" s="9">
        <v>1702.42</v>
      </c>
      <c r="M82" s="9">
        <v>2520.0100000000002</v>
      </c>
      <c r="N82" s="9">
        <v>4051.79</v>
      </c>
      <c r="O82" s="9">
        <v>3094.29</v>
      </c>
      <c r="P82" s="8">
        <f t="shared" si="8"/>
        <v>2663.5571428571429</v>
      </c>
      <c r="Q82" s="8">
        <f t="shared" si="9"/>
        <v>3269.0014285714287</v>
      </c>
      <c r="R82" s="8">
        <f t="shared" si="10"/>
        <v>1.2273066629480447</v>
      </c>
      <c r="S82" s="10">
        <f t="shared" si="11"/>
        <v>0.51900465762618531</v>
      </c>
    </row>
    <row r="83" spans="1:19" x14ac:dyDescent="0.5">
      <c r="A83" s="11" t="s">
        <v>59</v>
      </c>
      <c r="B83" s="11">
        <v>64089.45</v>
      </c>
      <c r="C83" s="11">
        <v>66602.350000000006</v>
      </c>
      <c r="D83" s="11">
        <v>56988.81</v>
      </c>
      <c r="E83" s="11">
        <v>60697.39</v>
      </c>
      <c r="F83" s="11">
        <v>61783.93</v>
      </c>
      <c r="G83" s="11">
        <v>43942.8</v>
      </c>
      <c r="H83" s="11">
        <v>68532.88</v>
      </c>
      <c r="I83" s="9">
        <v>91575.71</v>
      </c>
      <c r="J83" s="9">
        <v>103173.36</v>
      </c>
      <c r="K83" s="9">
        <v>129193.12</v>
      </c>
      <c r="L83" s="9">
        <v>84227.88</v>
      </c>
      <c r="M83" s="9">
        <v>108022.46</v>
      </c>
      <c r="N83" s="9">
        <v>123241.12</v>
      </c>
      <c r="O83" s="9">
        <v>144085.44</v>
      </c>
      <c r="P83" s="11">
        <v>91575.71</v>
      </c>
      <c r="Q83" s="11">
        <f t="shared" si="9"/>
        <v>111931.29857142859</v>
      </c>
      <c r="R83" s="11">
        <f t="shared" si="10"/>
        <v>1.2222815260883981</v>
      </c>
      <c r="S83" s="12">
        <f t="shared" si="11"/>
        <v>6.5501505001915402E-5</v>
      </c>
    </row>
    <row r="84" spans="1:19" x14ac:dyDescent="0.5">
      <c r="A84" s="8" t="s">
        <v>102</v>
      </c>
      <c r="B84" s="8">
        <v>495.15</v>
      </c>
      <c r="C84" s="8">
        <v>459.52</v>
      </c>
      <c r="D84" s="8">
        <v>456.42</v>
      </c>
      <c r="E84" s="8">
        <v>207.04</v>
      </c>
      <c r="F84" s="8">
        <v>485.29</v>
      </c>
      <c r="G84" s="8">
        <v>366.86</v>
      </c>
      <c r="H84" s="8">
        <v>280.73</v>
      </c>
      <c r="I84" s="9">
        <v>875.86249999999995</v>
      </c>
      <c r="J84" s="9">
        <v>240.84</v>
      </c>
      <c r="K84" s="9">
        <v>321.43</v>
      </c>
      <c r="L84" s="9">
        <v>312.41000000000003</v>
      </c>
      <c r="M84" s="9">
        <v>529.52</v>
      </c>
      <c r="N84" s="9">
        <v>440.6</v>
      </c>
      <c r="O84" s="9">
        <v>638.92999999999995</v>
      </c>
      <c r="P84" s="8">
        <f t="shared" ref="P84:P119" si="12">AVERAGE(B84:H84)</f>
        <v>393.00142857142862</v>
      </c>
      <c r="Q84" s="8">
        <f t="shared" si="9"/>
        <v>479.94178571428569</v>
      </c>
      <c r="R84" s="8">
        <f t="shared" si="10"/>
        <v>1.2212214786569293</v>
      </c>
      <c r="S84" s="10">
        <f t="shared" si="11"/>
        <v>0.37358999797746095</v>
      </c>
    </row>
    <row r="85" spans="1:19" x14ac:dyDescent="0.5">
      <c r="A85" s="8" t="s">
        <v>119</v>
      </c>
      <c r="B85" s="8">
        <v>451.37</v>
      </c>
      <c r="C85" s="8">
        <v>803.45</v>
      </c>
      <c r="D85" s="8">
        <v>382.72</v>
      </c>
      <c r="E85" s="8">
        <v>569.01</v>
      </c>
      <c r="F85" s="8">
        <v>927.87</v>
      </c>
      <c r="G85" s="8">
        <v>321.27999999999997</v>
      </c>
      <c r="H85" s="8">
        <v>570.59</v>
      </c>
      <c r="I85" s="9">
        <v>981.74</v>
      </c>
      <c r="J85" s="9">
        <v>290.12</v>
      </c>
      <c r="K85" s="9">
        <v>1207.1099999999999</v>
      </c>
      <c r="L85" s="9">
        <v>493.59</v>
      </c>
      <c r="M85" s="9">
        <v>649.57000000000005</v>
      </c>
      <c r="N85" s="9">
        <v>452.54</v>
      </c>
      <c r="O85" s="9">
        <v>837.57</v>
      </c>
      <c r="P85" s="8">
        <f t="shared" si="12"/>
        <v>575.18428571428569</v>
      </c>
      <c r="Q85" s="8">
        <f t="shared" si="9"/>
        <v>701.74857142857149</v>
      </c>
      <c r="R85" s="8">
        <f t="shared" si="10"/>
        <v>1.2200412786957722</v>
      </c>
      <c r="S85" s="10">
        <f t="shared" si="11"/>
        <v>0.4100124699526192</v>
      </c>
    </row>
    <row r="86" spans="1:19" x14ac:dyDescent="0.5">
      <c r="A86" s="8" t="s">
        <v>109</v>
      </c>
      <c r="B86" s="8">
        <v>7292.09</v>
      </c>
      <c r="C86" s="8">
        <v>11729.38</v>
      </c>
      <c r="D86" s="8">
        <v>11140.27</v>
      </c>
      <c r="E86" s="8">
        <v>10187.34</v>
      </c>
      <c r="F86" s="8">
        <v>13127.58</v>
      </c>
      <c r="G86" s="8">
        <v>6106.27</v>
      </c>
      <c r="H86" s="8">
        <v>7480.59</v>
      </c>
      <c r="I86" s="9">
        <v>13793.29</v>
      </c>
      <c r="J86" s="9">
        <v>10294.709999999999</v>
      </c>
      <c r="K86" s="9">
        <v>8173.9</v>
      </c>
      <c r="L86" s="9">
        <v>10416.299999999999</v>
      </c>
      <c r="M86" s="9">
        <v>12004.73</v>
      </c>
      <c r="N86" s="9">
        <v>13495.78</v>
      </c>
      <c r="O86" s="9">
        <v>13569.05</v>
      </c>
      <c r="P86" s="8">
        <f t="shared" si="12"/>
        <v>9580.5028571428575</v>
      </c>
      <c r="Q86" s="8">
        <f t="shared" si="9"/>
        <v>11678.251428571428</v>
      </c>
      <c r="R86" s="8">
        <f t="shared" si="10"/>
        <v>1.2189601738769451</v>
      </c>
      <c r="S86" s="10">
        <f t="shared" si="11"/>
        <v>0.12755141317265922</v>
      </c>
    </row>
    <row r="87" spans="1:19" x14ac:dyDescent="0.5">
      <c r="A87" s="8" t="s">
        <v>128</v>
      </c>
      <c r="B87" s="8">
        <v>219.29</v>
      </c>
      <c r="C87" s="8">
        <v>380.41</v>
      </c>
      <c r="D87" s="8">
        <v>215.32</v>
      </c>
      <c r="E87" s="8">
        <v>159.61000000000001</v>
      </c>
      <c r="F87" s="8">
        <v>1101.02</v>
      </c>
      <c r="G87" s="8">
        <v>545.85</v>
      </c>
      <c r="H87" s="8">
        <v>230.75</v>
      </c>
      <c r="I87" s="9">
        <v>853.71</v>
      </c>
      <c r="J87" s="9">
        <v>163.01</v>
      </c>
      <c r="K87" s="9">
        <v>363</v>
      </c>
      <c r="L87" s="9">
        <v>370.24</v>
      </c>
      <c r="M87" s="9">
        <v>690.24</v>
      </c>
      <c r="N87" s="9">
        <v>486.47</v>
      </c>
      <c r="O87" s="9">
        <v>537.59</v>
      </c>
      <c r="P87" s="8">
        <f t="shared" si="12"/>
        <v>407.46428571428572</v>
      </c>
      <c r="Q87" s="8">
        <f t="shared" si="9"/>
        <v>494.89428571428573</v>
      </c>
      <c r="R87" s="8">
        <f t="shared" si="10"/>
        <v>1.2145709527565958</v>
      </c>
      <c r="S87" s="10">
        <f t="shared" si="11"/>
        <v>0.57721481508349592</v>
      </c>
    </row>
    <row r="88" spans="1:19" x14ac:dyDescent="0.5">
      <c r="A88" s="8" t="s">
        <v>123</v>
      </c>
      <c r="B88" s="8">
        <v>843.28</v>
      </c>
      <c r="C88" s="8">
        <v>691.99</v>
      </c>
      <c r="D88" s="8">
        <v>1365.66</v>
      </c>
      <c r="E88" s="8">
        <v>460.83</v>
      </c>
      <c r="F88" s="8">
        <v>937.86</v>
      </c>
      <c r="G88" s="8">
        <v>603.79999999999995</v>
      </c>
      <c r="H88" s="8">
        <v>1572.89</v>
      </c>
      <c r="I88" s="9">
        <v>1853.35</v>
      </c>
      <c r="J88" s="9">
        <v>1119.67</v>
      </c>
      <c r="K88" s="9">
        <v>890.81</v>
      </c>
      <c r="L88" s="9">
        <v>507.57</v>
      </c>
      <c r="M88" s="9">
        <v>1109.6400000000001</v>
      </c>
      <c r="N88" s="9">
        <v>724.54</v>
      </c>
      <c r="O88" s="9">
        <v>1477.34</v>
      </c>
      <c r="P88" s="8">
        <f t="shared" si="12"/>
        <v>925.18714285714293</v>
      </c>
      <c r="Q88" s="8">
        <f t="shared" si="9"/>
        <v>1097.56</v>
      </c>
      <c r="R88" s="8">
        <f t="shared" si="10"/>
        <v>1.1863113408715764</v>
      </c>
      <c r="S88" s="10">
        <f t="shared" si="11"/>
        <v>0.4697762898101554</v>
      </c>
    </row>
    <row r="89" spans="1:19" x14ac:dyDescent="0.5">
      <c r="A89" s="8" t="s">
        <v>142</v>
      </c>
      <c r="B89" s="8">
        <v>836.61</v>
      </c>
      <c r="C89" s="8">
        <v>685.5</v>
      </c>
      <c r="D89" s="8">
        <v>715.4</v>
      </c>
      <c r="E89" s="8">
        <v>681.93</v>
      </c>
      <c r="F89" s="8">
        <v>3960.92</v>
      </c>
      <c r="G89" s="8">
        <v>3724.25</v>
      </c>
      <c r="H89" s="8">
        <v>701.81</v>
      </c>
      <c r="I89" s="9">
        <v>1324.74</v>
      </c>
      <c r="J89" s="9">
        <v>353.24</v>
      </c>
      <c r="K89" s="9">
        <v>601.35</v>
      </c>
      <c r="L89" s="9">
        <v>3341.15</v>
      </c>
      <c r="M89" s="9">
        <v>2381.6</v>
      </c>
      <c r="N89" s="9">
        <v>4306.17</v>
      </c>
      <c r="O89" s="9">
        <v>767.97</v>
      </c>
      <c r="P89" s="8">
        <f t="shared" si="12"/>
        <v>1615.2028571428571</v>
      </c>
      <c r="Q89" s="8">
        <f t="shared" si="9"/>
        <v>1868.0314285714285</v>
      </c>
      <c r="R89" s="8">
        <f t="shared" si="10"/>
        <v>1.1565305375176227</v>
      </c>
      <c r="S89" s="10">
        <f t="shared" si="11"/>
        <v>0.76097509985127487</v>
      </c>
    </row>
    <row r="90" spans="1:19" s="11" customFormat="1" ht="13.5" customHeight="1" x14ac:dyDescent="0.5">
      <c r="A90" s="8" t="s">
        <v>108</v>
      </c>
      <c r="B90" s="8">
        <v>1339.75</v>
      </c>
      <c r="C90" s="8">
        <v>1379.46</v>
      </c>
      <c r="D90" s="8">
        <v>2060.46</v>
      </c>
      <c r="E90" s="8">
        <v>1525.99</v>
      </c>
      <c r="F90" s="8">
        <v>2141.6799999999998</v>
      </c>
      <c r="G90" s="8">
        <v>1136.68</v>
      </c>
      <c r="H90" s="8">
        <v>835.68</v>
      </c>
      <c r="I90" s="9">
        <v>3247.99</v>
      </c>
      <c r="J90" s="9">
        <v>885.37</v>
      </c>
      <c r="K90" s="9">
        <v>1370.27</v>
      </c>
      <c r="L90" s="9">
        <v>1437.15</v>
      </c>
      <c r="M90" s="9">
        <v>1644.02</v>
      </c>
      <c r="N90" s="9">
        <v>1472.21</v>
      </c>
      <c r="O90" s="9">
        <v>1821.69</v>
      </c>
      <c r="P90" s="8">
        <f t="shared" si="12"/>
        <v>1488.5285714285715</v>
      </c>
      <c r="Q90" s="8">
        <f t="shared" si="9"/>
        <v>1696.9571428571428</v>
      </c>
      <c r="R90" s="8">
        <f t="shared" si="10"/>
        <v>1.140023225236811</v>
      </c>
      <c r="S90" s="10">
        <f t="shared" si="11"/>
        <v>0.5426376622044824</v>
      </c>
    </row>
    <row r="91" spans="1:19" x14ac:dyDescent="0.5">
      <c r="A91" s="8" t="s">
        <v>144</v>
      </c>
      <c r="B91" s="8">
        <v>6281.69</v>
      </c>
      <c r="C91" s="8">
        <v>6422.9</v>
      </c>
      <c r="D91" s="8">
        <v>233.81</v>
      </c>
      <c r="E91" s="8">
        <v>3134.99</v>
      </c>
      <c r="F91" s="8">
        <v>728.35</v>
      </c>
      <c r="G91" s="8">
        <v>3983.72</v>
      </c>
      <c r="H91" s="8">
        <v>2052.4899999999998</v>
      </c>
      <c r="I91" s="9">
        <v>2154.4699999999998</v>
      </c>
      <c r="J91" s="9">
        <v>377.44</v>
      </c>
      <c r="K91" s="9">
        <v>1573.39</v>
      </c>
      <c r="L91" s="9">
        <v>5841.13</v>
      </c>
      <c r="M91" s="9">
        <v>6927.63</v>
      </c>
      <c r="N91" s="9">
        <v>410.35</v>
      </c>
      <c r="O91" s="9">
        <v>8694.67</v>
      </c>
      <c r="P91" s="8">
        <f t="shared" si="12"/>
        <v>3262.5642857142852</v>
      </c>
      <c r="Q91" s="8">
        <f t="shared" si="9"/>
        <v>3711.2971428571432</v>
      </c>
      <c r="R91" s="8">
        <f t="shared" si="10"/>
        <v>1.1375399280583418</v>
      </c>
      <c r="S91" s="10">
        <f t="shared" si="11"/>
        <v>0.78182088342232503</v>
      </c>
    </row>
    <row r="92" spans="1:19" x14ac:dyDescent="0.5">
      <c r="A92" s="8" t="s">
        <v>121</v>
      </c>
      <c r="B92" s="8">
        <v>55786.71</v>
      </c>
      <c r="C92" s="8">
        <v>62174.1</v>
      </c>
      <c r="D92" s="8">
        <v>62091.98</v>
      </c>
      <c r="E92" s="8">
        <v>30523.33625</v>
      </c>
      <c r="F92" s="8">
        <v>61495</v>
      </c>
      <c r="G92" s="8">
        <v>49101.82</v>
      </c>
      <c r="H92" s="8">
        <v>58322.68</v>
      </c>
      <c r="I92" s="9">
        <v>69831.58</v>
      </c>
      <c r="J92" s="9">
        <v>49590.3</v>
      </c>
      <c r="K92" s="9">
        <v>50347.76</v>
      </c>
      <c r="L92" s="9">
        <v>66880.69</v>
      </c>
      <c r="M92" s="9">
        <v>63824.84</v>
      </c>
      <c r="N92" s="9">
        <v>58826.06</v>
      </c>
      <c r="O92" s="9">
        <v>69260.19</v>
      </c>
      <c r="P92" s="8">
        <f t="shared" si="12"/>
        <v>54213.660892857137</v>
      </c>
      <c r="Q92" s="8">
        <f t="shared" si="9"/>
        <v>61223.060000000005</v>
      </c>
      <c r="R92" s="8">
        <f t="shared" si="10"/>
        <v>1.1292921192131924</v>
      </c>
      <c r="S92" s="10">
        <f t="shared" si="11"/>
        <v>0.21818855839905252</v>
      </c>
    </row>
    <row r="93" spans="1:19" x14ac:dyDescent="0.5">
      <c r="A93" s="8" t="s">
        <v>124</v>
      </c>
      <c r="B93" s="8">
        <v>20386.759999999998</v>
      </c>
      <c r="C93" s="8">
        <v>21625.14</v>
      </c>
      <c r="D93" s="8">
        <v>18944.939999999999</v>
      </c>
      <c r="E93" s="8">
        <v>21411.37</v>
      </c>
      <c r="F93" s="8">
        <v>22277.05</v>
      </c>
      <c r="G93" s="8">
        <v>15667.635</v>
      </c>
      <c r="H93" s="8">
        <v>17439.36</v>
      </c>
      <c r="I93" s="9">
        <v>20692.759999999998</v>
      </c>
      <c r="J93" s="9">
        <v>20958.759999999998</v>
      </c>
      <c r="K93" s="9">
        <v>18866.22</v>
      </c>
      <c r="L93" s="9">
        <v>21676.16</v>
      </c>
      <c r="M93" s="9">
        <v>25022.19</v>
      </c>
      <c r="N93" s="9">
        <v>21693.16</v>
      </c>
      <c r="O93" s="9">
        <v>25153.18</v>
      </c>
      <c r="P93" s="8">
        <f t="shared" si="12"/>
        <v>19678.893571428573</v>
      </c>
      <c r="Q93" s="8">
        <f t="shared" si="9"/>
        <v>22008.91857142857</v>
      </c>
      <c r="R93" s="8">
        <f t="shared" si="10"/>
        <v>1.1184022359561372</v>
      </c>
      <c r="S93" s="10">
        <f t="shared" si="11"/>
        <v>9.1097047085858002E-2</v>
      </c>
    </row>
    <row r="94" spans="1:19" x14ac:dyDescent="0.5">
      <c r="A94" s="8" t="s">
        <v>141</v>
      </c>
      <c r="B94" s="8">
        <v>54.97</v>
      </c>
      <c r="C94" s="8">
        <v>64.47</v>
      </c>
      <c r="D94" s="8">
        <v>32.67</v>
      </c>
      <c r="E94" s="8">
        <v>1.4E-2</v>
      </c>
      <c r="F94" s="8">
        <v>90.07</v>
      </c>
      <c r="G94" s="8">
        <v>1.4E-2</v>
      </c>
      <c r="H94" s="8">
        <v>1.4E-2</v>
      </c>
      <c r="I94" s="9">
        <v>101.58</v>
      </c>
      <c r="J94" s="9">
        <v>1.4E-2</v>
      </c>
      <c r="K94" s="9">
        <v>1.4E-2</v>
      </c>
      <c r="L94" s="9">
        <v>39.86</v>
      </c>
      <c r="M94" s="9">
        <v>27.1</v>
      </c>
      <c r="N94" s="9">
        <v>97.7</v>
      </c>
      <c r="O94" s="9">
        <v>4.59</v>
      </c>
      <c r="P94" s="8">
        <f t="shared" si="12"/>
        <v>34.603142857142863</v>
      </c>
      <c r="Q94" s="8">
        <f t="shared" si="9"/>
        <v>38.693999999999996</v>
      </c>
      <c r="R94" s="8">
        <f t="shared" si="10"/>
        <v>1.1182221268092902</v>
      </c>
      <c r="S94" s="10">
        <f t="shared" si="11"/>
        <v>0.85335129706780588</v>
      </c>
    </row>
    <row r="95" spans="1:19" x14ac:dyDescent="0.5">
      <c r="A95" s="8" t="s">
        <v>137</v>
      </c>
      <c r="B95" s="8">
        <v>2450.33925</v>
      </c>
      <c r="C95" s="8">
        <v>4.3780000000000001</v>
      </c>
      <c r="D95" s="8">
        <v>4.3780000000000001</v>
      </c>
      <c r="E95" s="8">
        <v>1187.6400000000001</v>
      </c>
      <c r="F95" s="8">
        <v>4.3780000000000001</v>
      </c>
      <c r="G95" s="8">
        <v>4.3780000000000001</v>
      </c>
      <c r="H95" s="8">
        <v>4.3780000000000001</v>
      </c>
      <c r="I95" s="9">
        <v>2450.33925</v>
      </c>
      <c r="J95" s="9">
        <v>4.3780000000000001</v>
      </c>
      <c r="K95" s="9">
        <v>4.3780000000000001</v>
      </c>
      <c r="L95" s="9">
        <v>914.47</v>
      </c>
      <c r="M95" s="9">
        <v>479.8</v>
      </c>
      <c r="N95" s="9">
        <v>223.2</v>
      </c>
      <c r="O95" s="9">
        <v>4.3780000000000001</v>
      </c>
      <c r="P95" s="8">
        <f t="shared" si="12"/>
        <v>522.83846428571439</v>
      </c>
      <c r="Q95" s="8">
        <f t="shared" si="9"/>
        <v>582.99189285714294</v>
      </c>
      <c r="R95" s="8">
        <f t="shared" si="10"/>
        <v>1.1150516510938198</v>
      </c>
      <c r="S95" s="10">
        <f t="shared" si="11"/>
        <v>0.90506608728315918</v>
      </c>
    </row>
    <row r="96" spans="1:19" x14ac:dyDescent="0.5">
      <c r="A96" s="8" t="s">
        <v>145</v>
      </c>
      <c r="B96" s="8">
        <v>237.19</v>
      </c>
      <c r="C96" s="8">
        <v>66.59</v>
      </c>
      <c r="D96" s="8">
        <v>23.21</v>
      </c>
      <c r="E96" s="8">
        <v>357.60500000000002</v>
      </c>
      <c r="F96" s="8">
        <v>147.88999999999999</v>
      </c>
      <c r="G96" s="8">
        <v>186.35</v>
      </c>
      <c r="H96" s="8">
        <v>37.93</v>
      </c>
      <c r="I96" s="9">
        <v>116.84</v>
      </c>
      <c r="J96" s="9">
        <v>76.180000000000007</v>
      </c>
      <c r="K96" s="9">
        <v>156.24</v>
      </c>
      <c r="L96" s="9">
        <v>357.60500000000002</v>
      </c>
      <c r="M96" s="9">
        <v>14.17</v>
      </c>
      <c r="N96" s="9">
        <v>349.09</v>
      </c>
      <c r="O96" s="9">
        <v>104.78</v>
      </c>
      <c r="P96" s="8">
        <f t="shared" si="12"/>
        <v>150.96642857142859</v>
      </c>
      <c r="Q96" s="8">
        <f t="shared" si="9"/>
        <v>167.84357142857144</v>
      </c>
      <c r="R96" s="8">
        <f t="shared" si="10"/>
        <v>1.1117940128600019</v>
      </c>
      <c r="S96" s="10">
        <f t="shared" si="11"/>
        <v>0.80866060334993906</v>
      </c>
    </row>
    <row r="97" spans="1:19" x14ac:dyDescent="0.5">
      <c r="A97" s="11" t="s">
        <v>111</v>
      </c>
      <c r="B97" s="11">
        <v>7235.49</v>
      </c>
      <c r="C97" s="11">
        <v>8141.18</v>
      </c>
      <c r="D97" s="11">
        <v>7840.6</v>
      </c>
      <c r="E97" s="11">
        <v>7846.56</v>
      </c>
      <c r="F97" s="11">
        <v>7521.38</v>
      </c>
      <c r="G97" s="11">
        <v>7718.58</v>
      </c>
      <c r="H97" s="11">
        <v>6953.7</v>
      </c>
      <c r="I97" s="9">
        <v>8898.07</v>
      </c>
      <c r="J97" s="9">
        <v>8898.07</v>
      </c>
      <c r="K97" s="9">
        <v>8111.46</v>
      </c>
      <c r="L97" s="9">
        <v>8817.91</v>
      </c>
      <c r="M97" s="9">
        <v>7697.86</v>
      </c>
      <c r="N97" s="9">
        <v>8636.0300000000007</v>
      </c>
      <c r="O97" s="9">
        <v>8075.91</v>
      </c>
      <c r="P97" s="11">
        <f t="shared" si="12"/>
        <v>7608.2128571428566</v>
      </c>
      <c r="Q97" s="11">
        <f t="shared" si="9"/>
        <v>8447.9014285714275</v>
      </c>
      <c r="R97" s="11">
        <f t="shared" si="10"/>
        <v>1.1103660724529074</v>
      </c>
      <c r="S97" s="12">
        <f t="shared" si="11"/>
        <v>4.1302251046746964E-3</v>
      </c>
    </row>
    <row r="98" spans="1:19" x14ac:dyDescent="0.5">
      <c r="A98" s="8" t="s">
        <v>125</v>
      </c>
      <c r="B98" s="8">
        <v>137.19999999999999</v>
      </c>
      <c r="C98" s="8">
        <v>166.61</v>
      </c>
      <c r="D98" s="8">
        <v>319.02</v>
      </c>
      <c r="E98" s="8">
        <v>121.12</v>
      </c>
      <c r="F98" s="8">
        <v>221.38</v>
      </c>
      <c r="G98" s="8">
        <v>105.52</v>
      </c>
      <c r="H98" s="8">
        <v>92.58</v>
      </c>
      <c r="I98" s="9">
        <v>347.71375</v>
      </c>
      <c r="J98" s="9">
        <v>72.52</v>
      </c>
      <c r="K98" s="9">
        <v>112.62</v>
      </c>
      <c r="L98" s="9">
        <v>147.08000000000001</v>
      </c>
      <c r="M98" s="9">
        <v>227.66</v>
      </c>
      <c r="N98" s="9">
        <v>169.57</v>
      </c>
      <c r="O98" s="9">
        <v>204.94</v>
      </c>
      <c r="P98" s="8">
        <f t="shared" si="12"/>
        <v>166.2042857142857</v>
      </c>
      <c r="Q98" s="8">
        <f t="shared" ref="Q98:Q119" si="13">AVERAGE(I98:O98)</f>
        <v>183.15767857142856</v>
      </c>
      <c r="R98" s="8">
        <f t="shared" ref="R98:R119" si="14">Q98/P98</f>
        <v>1.1020033435617098</v>
      </c>
      <c r="S98" s="10">
        <f t="shared" ref="S98:S119" si="15">_xlfn.T.TEST(B98:H98,I98:O98,2,2)</f>
        <v>0.71541213048454999</v>
      </c>
    </row>
    <row r="99" spans="1:19" x14ac:dyDescent="0.5">
      <c r="A99" s="8" t="s">
        <v>115</v>
      </c>
      <c r="B99" s="8">
        <v>652.19000000000005</v>
      </c>
      <c r="C99" s="8">
        <v>253.27</v>
      </c>
      <c r="D99" s="8">
        <v>1704.43</v>
      </c>
      <c r="E99" s="8">
        <v>614.15</v>
      </c>
      <c r="F99" s="8">
        <v>343.84</v>
      </c>
      <c r="G99" s="8">
        <v>691.67</v>
      </c>
      <c r="H99" s="8">
        <v>219.9</v>
      </c>
      <c r="I99" s="9">
        <v>388.84</v>
      </c>
      <c r="J99" s="9">
        <v>252.35</v>
      </c>
      <c r="K99" s="9">
        <v>589.41</v>
      </c>
      <c r="L99" s="9">
        <v>373.06</v>
      </c>
      <c r="M99" s="9">
        <v>843.33</v>
      </c>
      <c r="N99" s="9">
        <v>1311.04</v>
      </c>
      <c r="O99" s="9">
        <v>1108.96</v>
      </c>
      <c r="P99" s="8">
        <f t="shared" si="12"/>
        <v>639.92142857142858</v>
      </c>
      <c r="Q99" s="8">
        <f t="shared" si="13"/>
        <v>695.28428571428572</v>
      </c>
      <c r="R99" s="8">
        <f t="shared" si="14"/>
        <v>1.0865150855573786</v>
      </c>
      <c r="S99" s="10">
        <f t="shared" si="15"/>
        <v>0.82524947172726182</v>
      </c>
    </row>
    <row r="100" spans="1:19" x14ac:dyDescent="0.5">
      <c r="A100" s="8" t="s">
        <v>107</v>
      </c>
      <c r="B100" s="8">
        <v>4.3</v>
      </c>
      <c r="C100" s="8">
        <v>5.08</v>
      </c>
      <c r="D100" s="8">
        <v>2.41</v>
      </c>
      <c r="E100" s="8">
        <v>12.36</v>
      </c>
      <c r="F100" s="8">
        <v>7.16</v>
      </c>
      <c r="G100" s="8">
        <v>5.94</v>
      </c>
      <c r="H100" s="8">
        <v>6.63</v>
      </c>
      <c r="I100" s="9">
        <v>15.72875</v>
      </c>
      <c r="J100" s="9">
        <v>2.41</v>
      </c>
      <c r="K100" s="9">
        <v>4.05</v>
      </c>
      <c r="L100" s="9">
        <v>4.13</v>
      </c>
      <c r="M100" s="9">
        <v>10.19</v>
      </c>
      <c r="N100" s="9">
        <v>4.5199999999999996</v>
      </c>
      <c r="O100" s="9">
        <v>6.32</v>
      </c>
      <c r="P100" s="8">
        <f t="shared" si="12"/>
        <v>6.2685714285714287</v>
      </c>
      <c r="Q100" s="8">
        <f t="shared" si="13"/>
        <v>6.7641071428571431</v>
      </c>
      <c r="R100" s="8">
        <f t="shared" si="14"/>
        <v>1.0790508204193254</v>
      </c>
      <c r="S100" s="10">
        <f t="shared" si="15"/>
        <v>0.81919401965432281</v>
      </c>
    </row>
    <row r="101" spans="1:19" x14ac:dyDescent="0.5">
      <c r="A101" s="8" t="s">
        <v>118</v>
      </c>
      <c r="B101" s="8">
        <v>20988.41</v>
      </c>
      <c r="C101" s="8">
        <v>18262.43</v>
      </c>
      <c r="D101" s="8">
        <v>15498.28</v>
      </c>
      <c r="E101" s="8">
        <v>16045.37</v>
      </c>
      <c r="F101" s="8">
        <v>14228.18</v>
      </c>
      <c r="G101" s="8">
        <v>12741.22</v>
      </c>
      <c r="H101" s="8">
        <v>17776.810000000001</v>
      </c>
      <c r="I101" s="9">
        <v>17669.03</v>
      </c>
      <c r="J101" s="9">
        <v>19501.25</v>
      </c>
      <c r="K101" s="9">
        <v>18937.22</v>
      </c>
      <c r="L101" s="9">
        <v>14489.34</v>
      </c>
      <c r="M101" s="9">
        <v>20946.02</v>
      </c>
      <c r="N101" s="9">
        <v>14170.09</v>
      </c>
      <c r="O101" s="9">
        <v>18829.27</v>
      </c>
      <c r="P101" s="8">
        <f t="shared" si="12"/>
        <v>16505.814285714285</v>
      </c>
      <c r="Q101" s="8">
        <f t="shared" si="13"/>
        <v>17791.745714285713</v>
      </c>
      <c r="R101" s="8">
        <f t="shared" si="14"/>
        <v>1.0779077848758056</v>
      </c>
      <c r="S101" s="10">
        <f t="shared" si="15"/>
        <v>0.38295254843601712</v>
      </c>
    </row>
    <row r="102" spans="1:19" x14ac:dyDescent="0.5">
      <c r="A102" s="8" t="s">
        <v>126</v>
      </c>
      <c r="B102" s="8">
        <v>97425.279999999999</v>
      </c>
      <c r="C102" s="8">
        <v>97935.64</v>
      </c>
      <c r="D102" s="8">
        <v>100512.16</v>
      </c>
      <c r="E102" s="8">
        <v>94765.18</v>
      </c>
      <c r="F102" s="8">
        <v>98605.85</v>
      </c>
      <c r="G102" s="8">
        <v>83155.136249999996</v>
      </c>
      <c r="H102" s="8">
        <v>84047.98</v>
      </c>
      <c r="I102" s="9">
        <v>112462.00625000001</v>
      </c>
      <c r="J102" s="9">
        <v>100236.75</v>
      </c>
      <c r="K102" s="9">
        <v>96932.65</v>
      </c>
      <c r="L102" s="9">
        <v>92285.31</v>
      </c>
      <c r="M102" s="9">
        <v>98651.32</v>
      </c>
      <c r="N102" s="9">
        <v>99297.57</v>
      </c>
      <c r="O102" s="9">
        <v>103237.37</v>
      </c>
      <c r="P102" s="8">
        <f t="shared" si="12"/>
        <v>93778.175178571415</v>
      </c>
      <c r="Q102" s="8">
        <f t="shared" si="13"/>
        <v>100443.28232142856</v>
      </c>
      <c r="R102" s="8">
        <f t="shared" si="14"/>
        <v>1.0710731162145726</v>
      </c>
      <c r="S102" s="10">
        <f t="shared" si="15"/>
        <v>8.8634804128551709E-2</v>
      </c>
    </row>
    <row r="103" spans="1:19" x14ac:dyDescent="0.5">
      <c r="A103" s="8" t="s">
        <v>131</v>
      </c>
      <c r="B103" s="8">
        <v>8698.56</v>
      </c>
      <c r="C103" s="8">
        <v>9627.77</v>
      </c>
      <c r="D103" s="8">
        <v>8936.59</v>
      </c>
      <c r="E103" s="8">
        <v>7962.18</v>
      </c>
      <c r="F103" s="8">
        <v>9684.1299999999992</v>
      </c>
      <c r="G103" s="8">
        <v>6831.0275000000001</v>
      </c>
      <c r="H103" s="8">
        <v>8765.41</v>
      </c>
      <c r="I103" s="9">
        <v>9695.82</v>
      </c>
      <c r="J103" s="9">
        <v>9247.56</v>
      </c>
      <c r="K103" s="9">
        <v>8762.9500000000007</v>
      </c>
      <c r="L103" s="9">
        <v>7873.96</v>
      </c>
      <c r="M103" s="9">
        <v>9655.7099999999991</v>
      </c>
      <c r="N103" s="9">
        <v>9670.64</v>
      </c>
      <c r="O103" s="9">
        <v>9576.83</v>
      </c>
      <c r="P103" s="8">
        <f t="shared" si="12"/>
        <v>8643.6667857142875</v>
      </c>
      <c r="Q103" s="8">
        <f t="shared" si="13"/>
        <v>9211.9242857142854</v>
      </c>
      <c r="R103" s="8">
        <f t="shared" si="14"/>
        <v>1.0657426430342245</v>
      </c>
      <c r="S103" s="10">
        <f t="shared" si="15"/>
        <v>0.23493539230736765</v>
      </c>
    </row>
    <row r="104" spans="1:19" x14ac:dyDescent="0.5">
      <c r="A104" s="8" t="s">
        <v>96</v>
      </c>
      <c r="B104" s="8">
        <v>1497.49</v>
      </c>
      <c r="C104" s="8">
        <v>928.55</v>
      </c>
      <c r="D104" s="8">
        <v>3722.3449999999998</v>
      </c>
      <c r="E104" s="8">
        <v>650.41</v>
      </c>
      <c r="F104" s="8">
        <v>1626.27</v>
      </c>
      <c r="G104" s="8">
        <v>1068.57</v>
      </c>
      <c r="H104" s="8">
        <v>1018.02</v>
      </c>
      <c r="I104" s="9">
        <v>3508.33</v>
      </c>
      <c r="J104" s="9">
        <v>619.79</v>
      </c>
      <c r="K104" s="9">
        <v>975.06</v>
      </c>
      <c r="L104" s="9">
        <v>629.11</v>
      </c>
      <c r="M104" s="9">
        <v>1817.82</v>
      </c>
      <c r="N104" s="9">
        <v>1709.87</v>
      </c>
      <c r="O104" s="9">
        <v>1911.37</v>
      </c>
      <c r="P104" s="8">
        <f t="shared" si="12"/>
        <v>1501.6650000000002</v>
      </c>
      <c r="Q104" s="8">
        <f t="shared" si="13"/>
        <v>1595.9071428571426</v>
      </c>
      <c r="R104" s="8">
        <f t="shared" si="14"/>
        <v>1.0627584333770463</v>
      </c>
      <c r="S104" s="10">
        <f t="shared" si="15"/>
        <v>0.86580063867796664</v>
      </c>
    </row>
    <row r="105" spans="1:19" x14ac:dyDescent="0.5">
      <c r="A105" s="8" t="s">
        <v>97</v>
      </c>
      <c r="B105" s="8">
        <v>1206.43</v>
      </c>
      <c r="C105" s="8">
        <v>1432.07</v>
      </c>
      <c r="D105" s="8">
        <v>654.47</v>
      </c>
      <c r="E105" s="8">
        <v>1067.31</v>
      </c>
      <c r="F105" s="8">
        <v>992.61</v>
      </c>
      <c r="G105" s="8">
        <v>1131.19</v>
      </c>
      <c r="H105" s="8">
        <v>541.78</v>
      </c>
      <c r="I105" s="9">
        <v>2063.1999999999998</v>
      </c>
      <c r="J105" s="9">
        <v>598.5</v>
      </c>
      <c r="K105" s="9">
        <v>1164.1500000000001</v>
      </c>
      <c r="L105" s="9">
        <v>396.79</v>
      </c>
      <c r="M105" s="9">
        <v>1020.92</v>
      </c>
      <c r="N105" s="9">
        <v>814.54</v>
      </c>
      <c r="O105" s="9">
        <v>1406.36</v>
      </c>
      <c r="P105" s="8">
        <f t="shared" si="12"/>
        <v>1003.6942857142857</v>
      </c>
      <c r="Q105" s="8">
        <f t="shared" si="13"/>
        <v>1066.3514285714286</v>
      </c>
      <c r="R105" s="8">
        <f t="shared" si="14"/>
        <v>1.0624265214507549</v>
      </c>
      <c r="S105" s="10">
        <f t="shared" si="15"/>
        <v>0.79897830133809067</v>
      </c>
    </row>
    <row r="106" spans="1:19" x14ac:dyDescent="0.5">
      <c r="A106" s="8" t="s">
        <v>135</v>
      </c>
      <c r="B106" s="8">
        <v>4441.83</v>
      </c>
      <c r="C106" s="8">
        <v>4795.13</v>
      </c>
      <c r="D106" s="8">
        <v>3154.39</v>
      </c>
      <c r="E106" s="8">
        <v>2536.2399999999998</v>
      </c>
      <c r="F106" s="8">
        <v>4340.42</v>
      </c>
      <c r="G106" s="8">
        <v>3698.99</v>
      </c>
      <c r="H106" s="8">
        <v>4035.81</v>
      </c>
      <c r="I106" s="9">
        <v>3205.82</v>
      </c>
      <c r="J106" s="9">
        <v>4268.96</v>
      </c>
      <c r="K106" s="9">
        <v>3971.43</v>
      </c>
      <c r="L106" s="9">
        <v>4697.59</v>
      </c>
      <c r="M106" s="9">
        <v>4609.21</v>
      </c>
      <c r="N106" s="9">
        <v>3907.51</v>
      </c>
      <c r="O106" s="9">
        <v>4024.54</v>
      </c>
      <c r="P106" s="8">
        <f t="shared" si="12"/>
        <v>3857.5442857142857</v>
      </c>
      <c r="Q106" s="8">
        <f t="shared" si="13"/>
        <v>4097.8657142857146</v>
      </c>
      <c r="R106" s="8">
        <f t="shared" si="14"/>
        <v>1.0622990718373384</v>
      </c>
      <c r="S106" s="10">
        <f t="shared" si="15"/>
        <v>0.50975562412515718</v>
      </c>
    </row>
    <row r="107" spans="1:19" x14ac:dyDescent="0.5">
      <c r="A107" s="8" t="s">
        <v>116</v>
      </c>
      <c r="B107" s="8">
        <v>12746.51</v>
      </c>
      <c r="C107" s="8">
        <v>11053.12</v>
      </c>
      <c r="D107" s="8">
        <v>11073.32</v>
      </c>
      <c r="E107" s="8">
        <v>15188.38</v>
      </c>
      <c r="F107" s="8">
        <v>17428.650000000001</v>
      </c>
      <c r="G107" s="8">
        <v>12227.46</v>
      </c>
      <c r="H107" s="8">
        <v>10487.77</v>
      </c>
      <c r="I107" s="9">
        <v>19334.830000000002</v>
      </c>
      <c r="J107" s="9">
        <v>10532.33</v>
      </c>
      <c r="K107" s="9">
        <v>12885.44</v>
      </c>
      <c r="L107" s="9">
        <v>10781.13</v>
      </c>
      <c r="M107" s="9">
        <v>17306.29</v>
      </c>
      <c r="N107" s="9">
        <v>9464.92</v>
      </c>
      <c r="O107" s="9">
        <v>15406.93</v>
      </c>
      <c r="P107" s="8">
        <f t="shared" si="12"/>
        <v>12886.458571428573</v>
      </c>
      <c r="Q107" s="8">
        <f t="shared" si="13"/>
        <v>13673.124285714284</v>
      </c>
      <c r="R107" s="8">
        <f t="shared" si="14"/>
        <v>1.0610459196314712</v>
      </c>
      <c r="S107" s="10">
        <f t="shared" si="15"/>
        <v>0.6547437866810295</v>
      </c>
    </row>
    <row r="108" spans="1:19" x14ac:dyDescent="0.5">
      <c r="A108" s="8" t="s">
        <v>105</v>
      </c>
      <c r="B108" s="8">
        <v>347.72</v>
      </c>
      <c r="C108" s="8">
        <v>36.49</v>
      </c>
      <c r="D108" s="8">
        <v>171.09</v>
      </c>
      <c r="E108" s="8">
        <v>1.339</v>
      </c>
      <c r="F108" s="8">
        <v>1.339</v>
      </c>
      <c r="G108" s="8">
        <v>15.33</v>
      </c>
      <c r="H108" s="8">
        <v>1.339</v>
      </c>
      <c r="I108" s="9">
        <v>183.37</v>
      </c>
      <c r="J108" s="9">
        <v>1.339</v>
      </c>
      <c r="K108" s="9">
        <v>1.339</v>
      </c>
      <c r="L108" s="9">
        <v>69.66</v>
      </c>
      <c r="M108" s="9">
        <v>14.84</v>
      </c>
      <c r="N108" s="9">
        <v>309.8</v>
      </c>
      <c r="O108" s="9">
        <v>13.39</v>
      </c>
      <c r="P108" s="8">
        <f t="shared" si="12"/>
        <v>82.092428571428613</v>
      </c>
      <c r="Q108" s="8">
        <f t="shared" si="13"/>
        <v>84.819714285714284</v>
      </c>
      <c r="R108" s="8">
        <f t="shared" si="14"/>
        <v>1.0332221346322172</v>
      </c>
      <c r="S108" s="10">
        <f t="shared" si="15"/>
        <v>0.96824499464639802</v>
      </c>
    </row>
    <row r="109" spans="1:19" x14ac:dyDescent="0.5">
      <c r="A109" s="8" t="s">
        <v>112</v>
      </c>
      <c r="B109" s="8">
        <v>3458.18</v>
      </c>
      <c r="C109" s="8">
        <v>3118.69</v>
      </c>
      <c r="D109" s="8">
        <v>6023.5487499999999</v>
      </c>
      <c r="E109" s="8">
        <v>3105.94</v>
      </c>
      <c r="F109" s="8">
        <v>1427.93</v>
      </c>
      <c r="G109" s="8">
        <v>1785.61</v>
      </c>
      <c r="H109" s="8">
        <v>1299.54</v>
      </c>
      <c r="I109" s="9">
        <v>1847.26</v>
      </c>
      <c r="J109" s="9">
        <v>912.93</v>
      </c>
      <c r="K109" s="9">
        <v>1546.18</v>
      </c>
      <c r="L109" s="9">
        <v>3436.5</v>
      </c>
      <c r="M109" s="9">
        <v>5959.55</v>
      </c>
      <c r="N109" s="9">
        <v>3362.33</v>
      </c>
      <c r="O109" s="9">
        <v>3674.56</v>
      </c>
      <c r="P109" s="8">
        <f t="shared" si="12"/>
        <v>2888.49125</v>
      </c>
      <c r="Q109" s="8">
        <f t="shared" si="13"/>
        <v>2962.7585714285715</v>
      </c>
      <c r="R109" s="8">
        <f t="shared" si="14"/>
        <v>1.0257114579899009</v>
      </c>
      <c r="S109" s="10">
        <f t="shared" si="15"/>
        <v>0.9350512601486165</v>
      </c>
    </row>
    <row r="110" spans="1:19" x14ac:dyDescent="0.5">
      <c r="A110" s="8" t="s">
        <v>136</v>
      </c>
      <c r="B110" s="8">
        <v>3386.28</v>
      </c>
      <c r="C110" s="8">
        <v>3774.01</v>
      </c>
      <c r="D110" s="8">
        <v>3405.56</v>
      </c>
      <c r="E110" s="8">
        <v>3986.1275000000001</v>
      </c>
      <c r="F110" s="8">
        <v>3353.4</v>
      </c>
      <c r="G110" s="8">
        <v>2701.8</v>
      </c>
      <c r="H110" s="8">
        <v>2683.71</v>
      </c>
      <c r="I110" s="9">
        <v>3213.19</v>
      </c>
      <c r="J110" s="9">
        <v>3044.61</v>
      </c>
      <c r="K110" s="9">
        <v>3272.96</v>
      </c>
      <c r="L110" s="9">
        <v>3328.3</v>
      </c>
      <c r="M110" s="9">
        <v>3255.24</v>
      </c>
      <c r="N110" s="9">
        <v>3563.24</v>
      </c>
      <c r="O110" s="9">
        <v>3343.23</v>
      </c>
      <c r="P110" s="8">
        <f t="shared" si="12"/>
        <v>3327.269642857143</v>
      </c>
      <c r="Q110" s="8">
        <f t="shared" si="13"/>
        <v>3288.6814285714286</v>
      </c>
      <c r="R110" s="8">
        <f t="shared" si="14"/>
        <v>0.98840243850733467</v>
      </c>
      <c r="S110" s="10">
        <f t="shared" si="15"/>
        <v>0.84639099728429712</v>
      </c>
    </row>
    <row r="111" spans="1:19" x14ac:dyDescent="0.5">
      <c r="A111" s="8" t="s">
        <v>133</v>
      </c>
      <c r="B111" s="8">
        <v>3169.71</v>
      </c>
      <c r="C111" s="8">
        <v>3423.6</v>
      </c>
      <c r="D111" s="8">
        <v>3164.05</v>
      </c>
      <c r="E111" s="8">
        <v>3100.84</v>
      </c>
      <c r="F111" s="8">
        <v>2729.82</v>
      </c>
      <c r="G111" s="8">
        <v>2957.64</v>
      </c>
      <c r="H111" s="8">
        <v>2790.33</v>
      </c>
      <c r="I111" s="9">
        <v>2588.71</v>
      </c>
      <c r="J111" s="9">
        <v>2937.38</v>
      </c>
      <c r="K111" s="9">
        <v>2941.68</v>
      </c>
      <c r="L111" s="9">
        <v>3092.91</v>
      </c>
      <c r="M111" s="9">
        <v>3219.89</v>
      </c>
      <c r="N111" s="9">
        <v>3311.79</v>
      </c>
      <c r="O111" s="9">
        <v>2907.98</v>
      </c>
      <c r="P111" s="8">
        <f t="shared" si="12"/>
        <v>3047.9985714285713</v>
      </c>
      <c r="Q111" s="8">
        <f t="shared" si="13"/>
        <v>3000.0485714285714</v>
      </c>
      <c r="R111" s="8">
        <f t="shared" si="14"/>
        <v>0.98426836533013007</v>
      </c>
      <c r="S111" s="10">
        <f t="shared" si="15"/>
        <v>0.71428272059786457</v>
      </c>
    </row>
    <row r="112" spans="1:19" x14ac:dyDescent="0.5">
      <c r="A112" s="8" t="s">
        <v>122</v>
      </c>
      <c r="B112" s="8">
        <v>208.49</v>
      </c>
      <c r="C112" s="8">
        <v>205.07</v>
      </c>
      <c r="D112" s="8">
        <v>277.02</v>
      </c>
      <c r="E112" s="8">
        <v>387.23</v>
      </c>
      <c r="F112" s="8">
        <v>499.39</v>
      </c>
      <c r="G112" s="8">
        <v>280.60000000000002</v>
      </c>
      <c r="H112" s="8">
        <v>249.82</v>
      </c>
      <c r="I112" s="9">
        <v>683.94</v>
      </c>
      <c r="J112" s="9">
        <v>91.37</v>
      </c>
      <c r="K112" s="9">
        <v>130.07</v>
      </c>
      <c r="L112" s="9">
        <v>145.72999999999999</v>
      </c>
      <c r="M112" s="9">
        <v>428.65</v>
      </c>
      <c r="N112" s="9">
        <v>171.79</v>
      </c>
      <c r="O112" s="9">
        <v>376.23</v>
      </c>
      <c r="P112" s="8">
        <f t="shared" si="12"/>
        <v>301.08857142857141</v>
      </c>
      <c r="Q112" s="8">
        <f t="shared" si="13"/>
        <v>289.68285714285719</v>
      </c>
      <c r="R112" s="8">
        <f t="shared" si="14"/>
        <v>0.96211840844174967</v>
      </c>
      <c r="S112" s="10">
        <f t="shared" si="15"/>
        <v>0.9026138258851244</v>
      </c>
    </row>
    <row r="113" spans="1:19" x14ac:dyDescent="0.5">
      <c r="A113" s="8" t="s">
        <v>130</v>
      </c>
      <c r="B113" s="8">
        <v>64905.64</v>
      </c>
      <c r="C113" s="8">
        <v>69631.210000000006</v>
      </c>
      <c r="D113" s="8">
        <v>76575.28</v>
      </c>
      <c r="E113" s="8">
        <v>74353.77</v>
      </c>
      <c r="F113" s="8">
        <v>58247.45</v>
      </c>
      <c r="G113" s="8">
        <v>62425.18</v>
      </c>
      <c r="H113" s="8">
        <v>62916.22</v>
      </c>
      <c r="I113" s="9">
        <v>59123.8</v>
      </c>
      <c r="J113" s="9">
        <v>41929.269999999997</v>
      </c>
      <c r="K113" s="9">
        <v>63963.53</v>
      </c>
      <c r="L113" s="9">
        <v>43659.63</v>
      </c>
      <c r="M113" s="9">
        <v>79416.97</v>
      </c>
      <c r="N113" s="9">
        <v>87070.33</v>
      </c>
      <c r="O113" s="9">
        <v>72179.360000000001</v>
      </c>
      <c r="P113" s="8">
        <f t="shared" si="12"/>
        <v>67007.821428571435</v>
      </c>
      <c r="Q113" s="8">
        <f t="shared" si="13"/>
        <v>63906.127142857142</v>
      </c>
      <c r="R113" s="8">
        <f t="shared" si="14"/>
        <v>0.95371145905675181</v>
      </c>
      <c r="S113" s="10">
        <f t="shared" si="15"/>
        <v>0.66364277683339523</v>
      </c>
    </row>
    <row r="114" spans="1:19" x14ac:dyDescent="0.5">
      <c r="A114" s="8" t="s">
        <v>132</v>
      </c>
      <c r="B114" s="8">
        <v>13498.94</v>
      </c>
      <c r="C114" s="8">
        <v>19402.63</v>
      </c>
      <c r="D114" s="8">
        <v>16323.63</v>
      </c>
      <c r="E114" s="8">
        <v>21315.95</v>
      </c>
      <c r="F114" s="8">
        <v>17731.16</v>
      </c>
      <c r="G114" s="8">
        <v>16724.91</v>
      </c>
      <c r="H114" s="8">
        <v>15381.52</v>
      </c>
      <c r="I114" s="9">
        <v>15463.61</v>
      </c>
      <c r="J114" s="9">
        <v>12855.52</v>
      </c>
      <c r="K114" s="9">
        <v>17421.64</v>
      </c>
      <c r="L114" s="9">
        <v>15195.29</v>
      </c>
      <c r="M114" s="9">
        <v>13816.76</v>
      </c>
      <c r="N114" s="9">
        <v>20473.79</v>
      </c>
      <c r="O114" s="9">
        <v>18483.53</v>
      </c>
      <c r="P114" s="8">
        <f t="shared" si="12"/>
        <v>17196.962857142858</v>
      </c>
      <c r="Q114" s="8">
        <f t="shared" si="13"/>
        <v>16244.305714285716</v>
      </c>
      <c r="R114" s="8">
        <f t="shared" si="14"/>
        <v>0.94460317494600798</v>
      </c>
      <c r="S114" s="10">
        <f t="shared" si="15"/>
        <v>0.51194967575445727</v>
      </c>
    </row>
    <row r="115" spans="1:19" x14ac:dyDescent="0.5">
      <c r="A115" s="8" t="s">
        <v>140</v>
      </c>
      <c r="B115" s="8">
        <v>5127.1000000000004</v>
      </c>
      <c r="C115" s="8">
        <v>6005.98</v>
      </c>
      <c r="D115" s="8">
        <v>3602.26</v>
      </c>
      <c r="E115" s="8">
        <v>6020.94</v>
      </c>
      <c r="F115" s="8">
        <v>3236.9</v>
      </c>
      <c r="G115" s="8">
        <v>4132.04</v>
      </c>
      <c r="H115" s="8">
        <v>3908.22</v>
      </c>
      <c r="I115" s="9">
        <v>3452.99</v>
      </c>
      <c r="J115" s="9">
        <v>2748.34</v>
      </c>
      <c r="K115" s="9">
        <v>4752.0200000000004</v>
      </c>
      <c r="L115" s="9">
        <v>2812.42</v>
      </c>
      <c r="M115" s="9">
        <v>4648.05</v>
      </c>
      <c r="N115" s="9">
        <v>4668.6899999999996</v>
      </c>
      <c r="O115" s="9">
        <v>3749.66</v>
      </c>
      <c r="P115" s="8">
        <f t="shared" si="12"/>
        <v>4576.2057142857147</v>
      </c>
      <c r="Q115" s="8">
        <f t="shared" si="13"/>
        <v>3833.1671428571426</v>
      </c>
      <c r="R115" s="8">
        <f t="shared" si="14"/>
        <v>0.83762998916132625</v>
      </c>
      <c r="S115" s="10">
        <f t="shared" si="15"/>
        <v>0.1964957141467828</v>
      </c>
    </row>
    <row r="116" spans="1:19" x14ac:dyDescent="0.5">
      <c r="A116" s="8" t="s">
        <v>143</v>
      </c>
      <c r="B116" s="8">
        <v>17.760000000000002</v>
      </c>
      <c r="C116" s="8">
        <v>10.64</v>
      </c>
      <c r="D116" s="8">
        <v>49.67</v>
      </c>
      <c r="E116" s="8">
        <v>0.34300000000000003</v>
      </c>
      <c r="F116" s="8">
        <v>19.22</v>
      </c>
      <c r="G116" s="8">
        <v>10</v>
      </c>
      <c r="H116" s="8">
        <v>10.83</v>
      </c>
      <c r="I116" s="9">
        <v>49.67</v>
      </c>
      <c r="J116" s="9">
        <v>23.51</v>
      </c>
      <c r="K116" s="9">
        <v>4.83</v>
      </c>
      <c r="L116" s="9">
        <v>4.74</v>
      </c>
      <c r="M116" s="9">
        <v>5.05</v>
      </c>
      <c r="N116" s="9">
        <v>8.86</v>
      </c>
      <c r="O116" s="9">
        <v>0.34300000000000003</v>
      </c>
      <c r="P116" s="8">
        <f t="shared" si="12"/>
        <v>16.923285714285715</v>
      </c>
      <c r="Q116" s="8">
        <f t="shared" si="13"/>
        <v>13.857571428571429</v>
      </c>
      <c r="R116" s="8">
        <f t="shared" si="14"/>
        <v>0.81884639085621669</v>
      </c>
      <c r="S116" s="10">
        <f t="shared" si="15"/>
        <v>0.73556249151093511</v>
      </c>
    </row>
    <row r="117" spans="1:19" x14ac:dyDescent="0.5">
      <c r="A117" s="8" t="s">
        <v>87</v>
      </c>
      <c r="B117" s="8">
        <v>2.3199999999999998</v>
      </c>
      <c r="C117" s="8">
        <v>12.76</v>
      </c>
      <c r="D117" s="8">
        <v>30.04</v>
      </c>
      <c r="E117" s="8">
        <v>0.183</v>
      </c>
      <c r="F117" s="8">
        <v>0.183</v>
      </c>
      <c r="G117" s="8">
        <v>4.1500000000000004</v>
      </c>
      <c r="H117" s="8">
        <v>7.93</v>
      </c>
      <c r="I117" s="9">
        <v>0.183</v>
      </c>
      <c r="J117" s="9">
        <v>0.183</v>
      </c>
      <c r="K117" s="9">
        <v>5.53</v>
      </c>
      <c r="L117" s="9">
        <v>14.42</v>
      </c>
      <c r="M117" s="9">
        <v>6.64</v>
      </c>
      <c r="N117" s="9">
        <v>12.6</v>
      </c>
      <c r="O117" s="9">
        <v>4.67</v>
      </c>
      <c r="P117" s="8">
        <f t="shared" si="12"/>
        <v>8.2237142857142853</v>
      </c>
      <c r="Q117" s="8">
        <f t="shared" si="13"/>
        <v>6.3179999999999996</v>
      </c>
      <c r="R117" s="8">
        <f t="shared" si="14"/>
        <v>0.76826599034152099</v>
      </c>
      <c r="S117" s="10">
        <f t="shared" si="15"/>
        <v>0.68130022753310304</v>
      </c>
    </row>
    <row r="118" spans="1:19" x14ac:dyDescent="0.5">
      <c r="A118" s="8" t="s">
        <v>138</v>
      </c>
      <c r="B118" s="8">
        <v>443.11</v>
      </c>
      <c r="C118" s="8">
        <v>621.1</v>
      </c>
      <c r="D118" s="8">
        <v>243.61</v>
      </c>
      <c r="E118" s="8">
        <v>314.5</v>
      </c>
      <c r="F118" s="8">
        <v>514.26</v>
      </c>
      <c r="G118" s="8">
        <v>276.67</v>
      </c>
      <c r="H118" s="8">
        <v>347.93</v>
      </c>
      <c r="I118" s="9">
        <v>374.35</v>
      </c>
      <c r="J118" s="9">
        <v>102.81</v>
      </c>
      <c r="K118" s="9">
        <v>189.82</v>
      </c>
      <c r="L118" s="9">
        <v>161.6</v>
      </c>
      <c r="M118" s="9">
        <v>631.67999999999995</v>
      </c>
      <c r="N118" s="9">
        <v>312.70999999999998</v>
      </c>
      <c r="O118" s="9">
        <v>332.82</v>
      </c>
      <c r="P118" s="8">
        <f t="shared" si="12"/>
        <v>394.45428571428567</v>
      </c>
      <c r="Q118" s="8">
        <f t="shared" si="13"/>
        <v>300.82714285714286</v>
      </c>
      <c r="R118" s="8">
        <f t="shared" si="14"/>
        <v>0.76264133450191596</v>
      </c>
      <c r="S118" s="10">
        <f t="shared" si="15"/>
        <v>0.28982668671812462</v>
      </c>
    </row>
    <row r="119" spans="1:19" x14ac:dyDescent="0.5">
      <c r="A119" s="8" t="s">
        <v>134</v>
      </c>
      <c r="B119" s="8">
        <v>1029.55</v>
      </c>
      <c r="C119" s="8">
        <v>362.5</v>
      </c>
      <c r="D119" s="8">
        <v>1057.3499999999999</v>
      </c>
      <c r="E119" s="8">
        <v>545.84</v>
      </c>
      <c r="F119" s="8">
        <v>954.74</v>
      </c>
      <c r="G119" s="8">
        <v>468.15</v>
      </c>
      <c r="H119" s="8">
        <v>219.41</v>
      </c>
      <c r="I119" s="9">
        <v>262.33</v>
      </c>
      <c r="J119" s="9">
        <v>341.31</v>
      </c>
      <c r="K119" s="9">
        <v>228.47</v>
      </c>
      <c r="L119" s="9">
        <v>322.74</v>
      </c>
      <c r="M119" s="9">
        <v>475.03</v>
      </c>
      <c r="N119" s="9">
        <v>650.98</v>
      </c>
      <c r="O119" s="9">
        <v>835.25</v>
      </c>
      <c r="P119" s="8">
        <f t="shared" si="12"/>
        <v>662.50571428571413</v>
      </c>
      <c r="Q119" s="8">
        <f t="shared" si="13"/>
        <v>445.15857142857141</v>
      </c>
      <c r="R119" s="8">
        <f t="shared" si="14"/>
        <v>0.67193167067022619</v>
      </c>
      <c r="S119" s="10">
        <f t="shared" si="15"/>
        <v>0.18744749291010812</v>
      </c>
    </row>
    <row r="120" spans="1:19" x14ac:dyDescent="0.5">
      <c r="S120" s="10"/>
    </row>
    <row r="121" spans="1:19" x14ac:dyDescent="0.5">
      <c r="S121" s="10"/>
    </row>
  </sheetData>
  <phoneticPr fontId="5" type="noConversion"/>
  <conditionalFormatting sqref="S2:S121">
    <cfRule type="cellIs" dxfId="2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2753-DB9A-4373-83B7-33127B628738}">
  <dimension ref="A1:S120"/>
  <sheetViews>
    <sheetView workbookViewId="0">
      <selection activeCell="E11" sqref="E11"/>
    </sheetView>
  </sheetViews>
  <sheetFormatPr defaultColWidth="9.046875" defaultRowHeight="14.1" x14ac:dyDescent="0.5"/>
  <cols>
    <col min="1" max="8" width="9.046875" style="8"/>
    <col min="9" max="15" width="9.046875" style="13"/>
    <col min="16" max="16384" width="9.046875" style="8"/>
  </cols>
  <sheetData>
    <row r="1" spans="1:19" x14ac:dyDescent="0.5">
      <c r="A1" s="6" t="s">
        <v>0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15" t="s">
        <v>15</v>
      </c>
      <c r="J1" s="15" t="s">
        <v>16</v>
      </c>
      <c r="K1" s="15" t="s">
        <v>17</v>
      </c>
      <c r="L1" s="15" t="s">
        <v>18</v>
      </c>
      <c r="M1" s="15" t="s">
        <v>19</v>
      </c>
      <c r="N1" s="15" t="s">
        <v>20</v>
      </c>
      <c r="O1" s="15" t="s">
        <v>21</v>
      </c>
      <c r="P1" s="6" t="s">
        <v>23</v>
      </c>
      <c r="Q1" s="6" t="s">
        <v>24</v>
      </c>
      <c r="R1" s="6" t="s">
        <v>146</v>
      </c>
      <c r="S1" s="6" t="s">
        <v>147</v>
      </c>
    </row>
    <row r="2" spans="1:19" x14ac:dyDescent="0.5">
      <c r="A2" s="8" t="s">
        <v>41</v>
      </c>
      <c r="B2" s="8">
        <v>10232.040000000001</v>
      </c>
      <c r="C2" s="8">
        <v>15742.21</v>
      </c>
      <c r="D2" s="8">
        <v>3292.95</v>
      </c>
      <c r="E2" s="8">
        <v>4022.48</v>
      </c>
      <c r="F2" s="8">
        <v>22913.66</v>
      </c>
      <c r="G2" s="8">
        <v>2696.99</v>
      </c>
      <c r="H2" s="8">
        <v>9178.9599999999991</v>
      </c>
      <c r="I2" s="13">
        <v>27419.05</v>
      </c>
      <c r="J2" s="13">
        <v>27227.53</v>
      </c>
      <c r="K2" s="13">
        <v>26188.94</v>
      </c>
      <c r="L2" s="13">
        <v>21225.93</v>
      </c>
      <c r="M2" s="13">
        <v>6217.63</v>
      </c>
      <c r="N2" s="13">
        <v>21838.49</v>
      </c>
      <c r="O2" s="13">
        <v>11647.37</v>
      </c>
      <c r="P2" s="8">
        <f t="shared" ref="P2:P33" si="0">AVERAGE(B2:H2)</f>
        <v>9725.6128571428562</v>
      </c>
      <c r="Q2" s="8">
        <f t="shared" ref="Q2:Q33" si="1">AVERAGE(I2:O2)</f>
        <v>20252.134285714292</v>
      </c>
      <c r="R2" s="8">
        <f t="shared" ref="R2:R33" si="2">Q2/P2</f>
        <v>2.0823504475443273</v>
      </c>
      <c r="S2" s="12">
        <f t="shared" ref="S2:S33" si="3">_xlfn.T.TEST(B2:H2,I2:O2,2,2)</f>
        <v>2.7837965083883517E-2</v>
      </c>
    </row>
    <row r="3" spans="1:19" x14ac:dyDescent="0.5">
      <c r="A3" s="8" t="s">
        <v>87</v>
      </c>
      <c r="B3" s="8">
        <v>0.183</v>
      </c>
      <c r="C3" s="8">
        <v>5.53</v>
      </c>
      <c r="D3" s="8">
        <v>14.42</v>
      </c>
      <c r="E3" s="8">
        <v>6.64</v>
      </c>
      <c r="F3" s="8">
        <v>12.6</v>
      </c>
      <c r="G3" s="8">
        <v>4.67</v>
      </c>
      <c r="H3" s="8">
        <v>0.183</v>
      </c>
      <c r="I3" s="13">
        <v>30.810124999999999</v>
      </c>
      <c r="J3" s="13">
        <v>30.810124999999999</v>
      </c>
      <c r="K3" s="13">
        <v>2.4900000000000002</v>
      </c>
      <c r="L3" s="13">
        <v>10.98</v>
      </c>
      <c r="M3" s="13">
        <v>1.83</v>
      </c>
      <c r="N3" s="13">
        <v>8.6300000000000008</v>
      </c>
      <c r="O3" s="13">
        <v>0.183</v>
      </c>
      <c r="P3" s="8">
        <f t="shared" si="0"/>
        <v>6.3179999999999996</v>
      </c>
      <c r="Q3" s="8">
        <f t="shared" si="1"/>
        <v>12.247607142857143</v>
      </c>
      <c r="R3" s="8">
        <f t="shared" si="2"/>
        <v>1.9385259801926471</v>
      </c>
      <c r="S3" s="12">
        <f t="shared" si="3"/>
        <v>0.29600378284167228</v>
      </c>
    </row>
    <row r="4" spans="1:19" x14ac:dyDescent="0.5">
      <c r="A4" s="8" t="s">
        <v>43</v>
      </c>
      <c r="B4" s="8">
        <v>1233.1600000000001</v>
      </c>
      <c r="C4" s="8">
        <v>1163.29</v>
      </c>
      <c r="D4" s="8">
        <v>868.74</v>
      </c>
      <c r="E4" s="8">
        <v>2237.9699999999998</v>
      </c>
      <c r="F4" s="8">
        <v>430.96</v>
      </c>
      <c r="G4" s="8">
        <v>378.9</v>
      </c>
      <c r="H4" s="8">
        <v>5064.1187499999996</v>
      </c>
      <c r="I4" s="13">
        <v>5064.1187499999996</v>
      </c>
      <c r="J4" s="13">
        <v>3937.69</v>
      </c>
      <c r="K4" s="13">
        <v>2747.89</v>
      </c>
      <c r="L4" s="13">
        <v>2910.32</v>
      </c>
      <c r="M4" s="13">
        <v>2448.81</v>
      </c>
      <c r="N4" s="13">
        <v>2391.42</v>
      </c>
      <c r="O4" s="13">
        <v>1895.86</v>
      </c>
      <c r="P4" s="8">
        <f t="shared" si="0"/>
        <v>1625.3055357142855</v>
      </c>
      <c r="Q4" s="8">
        <f t="shared" si="1"/>
        <v>3056.5869642857142</v>
      </c>
      <c r="R4" s="8">
        <f t="shared" si="2"/>
        <v>1.8806229949511692</v>
      </c>
      <c r="S4" s="12">
        <f t="shared" si="3"/>
        <v>7.8168501809507088E-2</v>
      </c>
    </row>
    <row r="5" spans="1:19" x14ac:dyDescent="0.5">
      <c r="A5" s="8" t="s">
        <v>44</v>
      </c>
      <c r="B5" s="8">
        <v>1.0999999999999999E-2</v>
      </c>
      <c r="C5" s="8">
        <v>1.44</v>
      </c>
      <c r="D5" s="8">
        <v>3.07</v>
      </c>
      <c r="E5" s="8">
        <v>4.84</v>
      </c>
      <c r="F5" s="8">
        <v>3.27</v>
      </c>
      <c r="G5" s="8">
        <v>4.46</v>
      </c>
      <c r="H5" s="8">
        <v>1</v>
      </c>
      <c r="I5" s="13">
        <v>10.975</v>
      </c>
      <c r="J5" s="13">
        <v>5.79</v>
      </c>
      <c r="K5" s="13">
        <v>1.0999999999999999E-2</v>
      </c>
      <c r="L5" s="13">
        <v>0.42</v>
      </c>
      <c r="M5" s="13">
        <v>3.71</v>
      </c>
      <c r="N5" s="13">
        <v>10.975</v>
      </c>
      <c r="O5" s="13">
        <v>1.0999999999999999E-2</v>
      </c>
      <c r="P5" s="8">
        <f t="shared" si="0"/>
        <v>2.5844285714285715</v>
      </c>
      <c r="Q5" s="8">
        <f t="shared" si="1"/>
        <v>4.556</v>
      </c>
      <c r="R5" s="8">
        <f t="shared" si="2"/>
        <v>1.7628655132386268</v>
      </c>
      <c r="S5" s="12">
        <f t="shared" si="3"/>
        <v>0.33642520551146704</v>
      </c>
    </row>
    <row r="6" spans="1:19" x14ac:dyDescent="0.5">
      <c r="A6" s="8" t="s">
        <v>28</v>
      </c>
      <c r="B6" s="8">
        <v>0.28999999999999998</v>
      </c>
      <c r="C6" s="8">
        <v>33.450000000000003</v>
      </c>
      <c r="D6" s="8">
        <v>3.21</v>
      </c>
      <c r="E6" s="8">
        <v>4.03</v>
      </c>
      <c r="F6" s="8">
        <v>0.61</v>
      </c>
      <c r="G6" s="8">
        <v>11.81</v>
      </c>
      <c r="H6" s="8">
        <v>28.18</v>
      </c>
      <c r="I6" s="13">
        <v>22.02</v>
      </c>
      <c r="J6" s="13">
        <v>13.03</v>
      </c>
      <c r="K6" s="13">
        <v>2.9000000000000001E-2</v>
      </c>
      <c r="L6" s="13">
        <v>42.71</v>
      </c>
      <c r="M6" s="13">
        <v>18.510000000000002</v>
      </c>
      <c r="N6" s="13">
        <v>44.91</v>
      </c>
      <c r="O6" s="13">
        <v>2.9000000000000001E-2</v>
      </c>
      <c r="P6" s="8">
        <f t="shared" si="0"/>
        <v>11.654285714285717</v>
      </c>
      <c r="Q6" s="8">
        <f t="shared" si="1"/>
        <v>20.176857142857141</v>
      </c>
      <c r="R6" s="8">
        <f t="shared" si="2"/>
        <v>1.7312821770041673</v>
      </c>
      <c r="S6" s="12">
        <f t="shared" si="3"/>
        <v>0.3420713063529196</v>
      </c>
    </row>
    <row r="7" spans="1:19" x14ac:dyDescent="0.5">
      <c r="A7" s="8" t="s">
        <v>49</v>
      </c>
      <c r="B7" s="8">
        <v>4.1100000000000003</v>
      </c>
      <c r="C7" s="8">
        <v>7.16</v>
      </c>
      <c r="D7" s="8">
        <v>3.87</v>
      </c>
      <c r="E7" s="8">
        <v>4.13</v>
      </c>
      <c r="F7" s="8">
        <v>6.35</v>
      </c>
      <c r="G7" s="8">
        <v>5.28</v>
      </c>
      <c r="H7" s="8">
        <v>11.42</v>
      </c>
      <c r="I7" s="13">
        <v>19.6175</v>
      </c>
      <c r="J7" s="13">
        <v>19.6175</v>
      </c>
      <c r="K7" s="13">
        <v>4.45</v>
      </c>
      <c r="L7" s="13">
        <v>4.21</v>
      </c>
      <c r="M7" s="13">
        <v>9.69</v>
      </c>
      <c r="N7" s="13">
        <v>6.15</v>
      </c>
      <c r="O7" s="13">
        <v>6.15</v>
      </c>
      <c r="P7" s="8">
        <f t="shared" si="0"/>
        <v>6.0457142857142854</v>
      </c>
      <c r="Q7" s="8">
        <f t="shared" si="1"/>
        <v>9.9835714285714285</v>
      </c>
      <c r="R7" s="8">
        <f t="shared" si="2"/>
        <v>1.6513468809073726</v>
      </c>
      <c r="S7" s="12">
        <f t="shared" si="3"/>
        <v>0.18044897215815828</v>
      </c>
    </row>
    <row r="8" spans="1:19" x14ac:dyDescent="0.5">
      <c r="A8" s="8" t="s">
        <v>54</v>
      </c>
      <c r="B8" s="8">
        <v>8986.65</v>
      </c>
      <c r="C8" s="8">
        <v>13555.27</v>
      </c>
      <c r="D8" s="8">
        <v>14267.77</v>
      </c>
      <c r="E8" s="8">
        <v>15999.36</v>
      </c>
      <c r="F8" s="8">
        <v>13415.14</v>
      </c>
      <c r="G8" s="8">
        <v>9634.52</v>
      </c>
      <c r="H8" s="8">
        <v>13690.92</v>
      </c>
      <c r="I8" s="13">
        <v>31285.52</v>
      </c>
      <c r="J8" s="13">
        <v>22373.5</v>
      </c>
      <c r="K8" s="13">
        <v>19420.22</v>
      </c>
      <c r="L8" s="13">
        <v>20376.89</v>
      </c>
      <c r="M8" s="13">
        <v>21175.53</v>
      </c>
      <c r="N8" s="13">
        <v>18489.689999999999</v>
      </c>
      <c r="O8" s="13">
        <v>8575.91</v>
      </c>
      <c r="P8" s="8">
        <f t="shared" si="0"/>
        <v>12792.804285714286</v>
      </c>
      <c r="Q8" s="8">
        <f t="shared" si="1"/>
        <v>20242.465714285714</v>
      </c>
      <c r="R8" s="8">
        <f t="shared" si="2"/>
        <v>1.582332165973215</v>
      </c>
      <c r="S8" s="12">
        <f t="shared" si="3"/>
        <v>1.7270840851952907E-2</v>
      </c>
    </row>
    <row r="9" spans="1:19" x14ac:dyDescent="0.5">
      <c r="A9" s="8" t="s">
        <v>51</v>
      </c>
      <c r="B9" s="8">
        <v>1128.26</v>
      </c>
      <c r="C9" s="8">
        <v>1815.17</v>
      </c>
      <c r="D9" s="8">
        <v>1234.9100000000001</v>
      </c>
      <c r="E9" s="8">
        <v>1321.09</v>
      </c>
      <c r="F9" s="8">
        <v>1129.01</v>
      </c>
      <c r="G9" s="8">
        <v>1309.1400000000001</v>
      </c>
      <c r="H9" s="8">
        <v>2082.9699999999998</v>
      </c>
      <c r="I9" s="13">
        <v>1882.09</v>
      </c>
      <c r="J9" s="13">
        <v>2358.1999999999998</v>
      </c>
      <c r="K9" s="13">
        <v>2379.48</v>
      </c>
      <c r="L9" s="13">
        <v>2395.19</v>
      </c>
      <c r="M9" s="13">
        <v>2360.5700000000002</v>
      </c>
      <c r="N9" s="13">
        <v>2431.12</v>
      </c>
      <c r="O9" s="13">
        <v>1635.76</v>
      </c>
      <c r="P9" s="8">
        <f t="shared" si="0"/>
        <v>1431.507142857143</v>
      </c>
      <c r="Q9" s="8">
        <f t="shared" si="1"/>
        <v>2206.0585714285717</v>
      </c>
      <c r="R9" s="8">
        <f t="shared" si="2"/>
        <v>1.5410740927394204</v>
      </c>
      <c r="S9" s="12">
        <f t="shared" si="3"/>
        <v>1.1879553015073055E-3</v>
      </c>
    </row>
    <row r="10" spans="1:19" x14ac:dyDescent="0.5">
      <c r="A10" s="8" t="s">
        <v>30</v>
      </c>
      <c r="B10" s="8">
        <v>24.99</v>
      </c>
      <c r="C10" s="8">
        <v>41.73</v>
      </c>
      <c r="D10" s="8">
        <v>26.47</v>
      </c>
      <c r="E10" s="8">
        <v>40.28</v>
      </c>
      <c r="F10" s="8">
        <v>99.66</v>
      </c>
      <c r="G10" s="8">
        <v>95.27</v>
      </c>
      <c r="H10" s="8">
        <v>56.19</v>
      </c>
      <c r="I10" s="13">
        <v>112.18</v>
      </c>
      <c r="J10" s="13">
        <v>68.430000000000007</v>
      </c>
      <c r="K10" s="13">
        <v>35.090000000000003</v>
      </c>
      <c r="L10" s="13">
        <v>128.9</v>
      </c>
      <c r="M10" s="13">
        <v>129.29</v>
      </c>
      <c r="N10" s="13">
        <v>60.62</v>
      </c>
      <c r="O10" s="13">
        <v>36.770000000000003</v>
      </c>
      <c r="P10" s="8">
        <f t="shared" si="0"/>
        <v>54.941428571428567</v>
      </c>
      <c r="Q10" s="8">
        <f t="shared" si="1"/>
        <v>81.611428571428561</v>
      </c>
      <c r="R10" s="8">
        <f t="shared" si="2"/>
        <v>1.4854260381185158</v>
      </c>
      <c r="S10" s="12">
        <f t="shared" si="3"/>
        <v>0.19631638880571434</v>
      </c>
    </row>
    <row r="11" spans="1:19" x14ac:dyDescent="0.5">
      <c r="A11" s="8" t="s">
        <v>36</v>
      </c>
      <c r="B11" s="8">
        <v>3626.19</v>
      </c>
      <c r="C11" s="8">
        <v>2072.94</v>
      </c>
      <c r="D11" s="8">
        <v>3550.19</v>
      </c>
      <c r="E11" s="8">
        <v>3576.88</v>
      </c>
      <c r="F11" s="8">
        <v>1369.3</v>
      </c>
      <c r="G11" s="8">
        <v>1718.34</v>
      </c>
      <c r="H11" s="8">
        <v>3372.38</v>
      </c>
      <c r="I11" s="13">
        <v>6597.23</v>
      </c>
      <c r="J11" s="13">
        <v>4938.22</v>
      </c>
      <c r="K11" s="13">
        <v>964.16</v>
      </c>
      <c r="L11" s="13">
        <v>6506.11</v>
      </c>
      <c r="M11" s="13">
        <v>1490.88</v>
      </c>
      <c r="N11" s="13">
        <v>2693.2</v>
      </c>
      <c r="O11" s="13">
        <v>4283.41</v>
      </c>
      <c r="P11" s="8">
        <f t="shared" si="0"/>
        <v>2755.1742857142858</v>
      </c>
      <c r="Q11" s="8">
        <f t="shared" si="1"/>
        <v>3924.744285714286</v>
      </c>
      <c r="R11" s="8">
        <f t="shared" si="2"/>
        <v>1.4244994612733859</v>
      </c>
      <c r="S11" s="12">
        <f t="shared" si="3"/>
        <v>0.23695563897806343</v>
      </c>
    </row>
    <row r="12" spans="1:19" x14ac:dyDescent="0.5">
      <c r="A12" s="8" t="s">
        <v>67</v>
      </c>
      <c r="B12" s="8">
        <v>393.5</v>
      </c>
      <c r="C12" s="8">
        <v>492.7</v>
      </c>
      <c r="D12" s="8">
        <v>354.36</v>
      </c>
      <c r="E12" s="8">
        <v>1143.6099999999999</v>
      </c>
      <c r="F12" s="8">
        <v>554.35</v>
      </c>
      <c r="G12" s="8">
        <v>1075.8599999999999</v>
      </c>
      <c r="H12" s="8">
        <v>2301.58</v>
      </c>
      <c r="I12" s="13">
        <v>2035.34</v>
      </c>
      <c r="J12" s="13">
        <v>1177.8399999999999</v>
      </c>
      <c r="K12" s="13">
        <v>403.31</v>
      </c>
      <c r="L12" s="13">
        <v>1373.69</v>
      </c>
      <c r="M12" s="13">
        <v>1944.16</v>
      </c>
      <c r="N12" s="13">
        <v>394.8</v>
      </c>
      <c r="O12" s="13">
        <v>1627.53</v>
      </c>
      <c r="P12" s="8">
        <f t="shared" si="0"/>
        <v>902.28</v>
      </c>
      <c r="Q12" s="8">
        <f t="shared" si="1"/>
        <v>1279.5242857142857</v>
      </c>
      <c r="R12" s="8">
        <f t="shared" si="2"/>
        <v>1.4181011279362123</v>
      </c>
      <c r="S12" s="12">
        <f t="shared" si="3"/>
        <v>0.32183880910056756</v>
      </c>
    </row>
    <row r="13" spans="1:19" x14ac:dyDescent="0.5">
      <c r="A13" s="8" t="s">
        <v>134</v>
      </c>
      <c r="B13" s="8">
        <v>341.31</v>
      </c>
      <c r="C13" s="8">
        <v>228.47</v>
      </c>
      <c r="D13" s="8">
        <v>322.74</v>
      </c>
      <c r="E13" s="8">
        <v>475.03</v>
      </c>
      <c r="F13" s="8">
        <v>650.98</v>
      </c>
      <c r="G13" s="8">
        <v>835.25</v>
      </c>
      <c r="H13" s="8">
        <v>262.33</v>
      </c>
      <c r="I13" s="13">
        <v>641.45000000000005</v>
      </c>
      <c r="J13" s="13">
        <v>455.21</v>
      </c>
      <c r="K13" s="13">
        <v>446.66</v>
      </c>
      <c r="L13" s="13">
        <v>819.27</v>
      </c>
      <c r="M13" s="13">
        <v>1308.03</v>
      </c>
      <c r="N13" s="13">
        <v>357.63</v>
      </c>
      <c r="O13" s="13">
        <v>375.35</v>
      </c>
      <c r="P13" s="8">
        <f t="shared" si="0"/>
        <v>445.15857142857141</v>
      </c>
      <c r="Q13" s="8">
        <f t="shared" si="1"/>
        <v>629.08571428571429</v>
      </c>
      <c r="R13" s="8">
        <f t="shared" si="2"/>
        <v>1.41317219225252</v>
      </c>
      <c r="S13" s="12">
        <f t="shared" si="3"/>
        <v>0.25640807611893746</v>
      </c>
    </row>
    <row r="14" spans="1:19" x14ac:dyDescent="0.5">
      <c r="A14" s="8" t="s">
        <v>74</v>
      </c>
      <c r="B14" s="8">
        <v>898.27</v>
      </c>
      <c r="C14" s="8">
        <v>797.86</v>
      </c>
      <c r="D14" s="8">
        <v>295.60000000000002</v>
      </c>
      <c r="E14" s="8">
        <v>719.67</v>
      </c>
      <c r="F14" s="8">
        <v>870.25</v>
      </c>
      <c r="G14" s="8">
        <v>938.98</v>
      </c>
      <c r="H14" s="8">
        <v>914.33</v>
      </c>
      <c r="I14" s="13">
        <v>1462.26</v>
      </c>
      <c r="J14" s="13">
        <v>1396.61</v>
      </c>
      <c r="K14" s="13">
        <v>1078.99</v>
      </c>
      <c r="L14" s="13">
        <v>1049.1500000000001</v>
      </c>
      <c r="M14" s="13">
        <v>1513.3</v>
      </c>
      <c r="N14" s="13">
        <v>310.23</v>
      </c>
      <c r="O14" s="13">
        <v>811.38</v>
      </c>
      <c r="P14" s="8">
        <f t="shared" si="0"/>
        <v>776.4228571428572</v>
      </c>
      <c r="Q14" s="8">
        <f t="shared" si="1"/>
        <v>1088.8457142857144</v>
      </c>
      <c r="R14" s="8">
        <f t="shared" si="2"/>
        <v>1.4023875060718018</v>
      </c>
      <c r="S14" s="12">
        <f t="shared" si="3"/>
        <v>0.11311092136136507</v>
      </c>
    </row>
    <row r="15" spans="1:19" x14ac:dyDescent="0.5">
      <c r="A15" s="8" t="s">
        <v>50</v>
      </c>
      <c r="B15" s="8">
        <v>1.27</v>
      </c>
      <c r="C15" s="8">
        <v>2.44</v>
      </c>
      <c r="D15" s="8">
        <v>1.55</v>
      </c>
      <c r="E15" s="8">
        <v>1.68</v>
      </c>
      <c r="F15" s="8">
        <v>2.58</v>
      </c>
      <c r="G15" s="8">
        <v>1.77</v>
      </c>
      <c r="H15" s="8">
        <v>1.38</v>
      </c>
      <c r="I15" s="13">
        <v>4.4325000000000001</v>
      </c>
      <c r="J15" s="13">
        <v>2.75</v>
      </c>
      <c r="K15" s="13">
        <v>1.28</v>
      </c>
      <c r="L15" s="13">
        <v>1.89</v>
      </c>
      <c r="M15" s="13">
        <v>4.3600000000000003</v>
      </c>
      <c r="N15" s="13">
        <v>1.1000000000000001</v>
      </c>
      <c r="O15" s="13">
        <v>1.67</v>
      </c>
      <c r="P15" s="8">
        <f t="shared" si="0"/>
        <v>1.8099999999999998</v>
      </c>
      <c r="Q15" s="8">
        <f t="shared" si="1"/>
        <v>2.4975000000000001</v>
      </c>
      <c r="R15" s="8">
        <f t="shared" si="2"/>
        <v>1.3798342541436466</v>
      </c>
      <c r="S15" s="12">
        <f t="shared" si="3"/>
        <v>0.24557979036595901</v>
      </c>
    </row>
    <row r="16" spans="1:19" x14ac:dyDescent="0.5">
      <c r="A16" s="8" t="s">
        <v>68</v>
      </c>
      <c r="B16" s="8">
        <v>4.46</v>
      </c>
      <c r="C16" s="8">
        <v>6.55</v>
      </c>
      <c r="D16" s="8">
        <v>5.07</v>
      </c>
      <c r="E16" s="8">
        <v>4.58</v>
      </c>
      <c r="F16" s="8">
        <v>5.65</v>
      </c>
      <c r="G16" s="8">
        <v>6.76</v>
      </c>
      <c r="H16" s="8">
        <v>29.946249999999999</v>
      </c>
      <c r="I16" s="13">
        <v>29.946249999999999</v>
      </c>
      <c r="J16" s="13">
        <v>29.946249999999999</v>
      </c>
      <c r="K16" s="13">
        <v>2.06</v>
      </c>
      <c r="L16" s="13">
        <v>2.99</v>
      </c>
      <c r="M16" s="13">
        <v>7.69</v>
      </c>
      <c r="N16" s="13">
        <v>4.7699999999999996</v>
      </c>
      <c r="O16" s="13">
        <v>7.28</v>
      </c>
      <c r="P16" s="8">
        <f t="shared" si="0"/>
        <v>9.0023214285714275</v>
      </c>
      <c r="Q16" s="8">
        <f t="shared" si="1"/>
        <v>12.097499999999998</v>
      </c>
      <c r="R16" s="8">
        <f t="shared" si="2"/>
        <v>1.3438200464165988</v>
      </c>
      <c r="S16" s="12">
        <f t="shared" si="3"/>
        <v>0.60594717852347357</v>
      </c>
    </row>
    <row r="17" spans="1:19" x14ac:dyDescent="0.5">
      <c r="A17" s="8" t="s">
        <v>39</v>
      </c>
      <c r="B17" s="8">
        <v>550.83000000000004</v>
      </c>
      <c r="C17" s="8">
        <v>540.09</v>
      </c>
      <c r="D17" s="8">
        <v>547.04999999999995</v>
      </c>
      <c r="E17" s="8">
        <v>435</v>
      </c>
      <c r="F17" s="8">
        <v>521.76</v>
      </c>
      <c r="G17" s="8">
        <v>398</v>
      </c>
      <c r="H17" s="8">
        <v>548.96</v>
      </c>
      <c r="I17" s="13">
        <v>975.32624999999996</v>
      </c>
      <c r="J17" s="13">
        <v>824.4</v>
      </c>
      <c r="K17" s="13">
        <v>551.85</v>
      </c>
      <c r="L17" s="13">
        <v>698.08</v>
      </c>
      <c r="M17" s="13">
        <v>975.1</v>
      </c>
      <c r="N17" s="13">
        <v>352.08</v>
      </c>
      <c r="O17" s="13">
        <v>235.97</v>
      </c>
      <c r="P17" s="8">
        <f t="shared" si="0"/>
        <v>505.95571428571435</v>
      </c>
      <c r="Q17" s="8">
        <f t="shared" si="1"/>
        <v>658.97232142857149</v>
      </c>
      <c r="R17" s="8">
        <f t="shared" si="2"/>
        <v>1.3024308310439365</v>
      </c>
      <c r="S17" s="12">
        <f t="shared" si="3"/>
        <v>0.20098281272790738</v>
      </c>
    </row>
    <row r="18" spans="1:19" x14ac:dyDescent="0.5">
      <c r="A18" s="8" t="s">
        <v>34</v>
      </c>
      <c r="B18" s="8">
        <v>4.0199999999999996</v>
      </c>
      <c r="C18" s="8">
        <v>6.92</v>
      </c>
      <c r="D18" s="8">
        <v>4.57</v>
      </c>
      <c r="E18" s="8">
        <v>8.31</v>
      </c>
      <c r="F18" s="8">
        <v>8.23</v>
      </c>
      <c r="G18" s="8">
        <v>6.88</v>
      </c>
      <c r="H18" s="8">
        <v>9.17</v>
      </c>
      <c r="I18" s="13">
        <v>16.68</v>
      </c>
      <c r="J18" s="13">
        <v>11.83</v>
      </c>
      <c r="K18" s="13">
        <v>6.74</v>
      </c>
      <c r="L18" s="13">
        <v>7.31</v>
      </c>
      <c r="M18" s="13">
        <v>8.3800000000000008</v>
      </c>
      <c r="N18" s="13">
        <v>5.24</v>
      </c>
      <c r="O18" s="13">
        <v>4.46</v>
      </c>
      <c r="P18" s="8">
        <f t="shared" si="0"/>
        <v>6.8714285714285719</v>
      </c>
      <c r="Q18" s="8">
        <f t="shared" si="1"/>
        <v>8.6628571428571437</v>
      </c>
      <c r="R18" s="8">
        <f t="shared" si="2"/>
        <v>1.2607068607068608</v>
      </c>
      <c r="S18" s="12">
        <f t="shared" si="3"/>
        <v>0.33205828107629753</v>
      </c>
    </row>
    <row r="19" spans="1:19" x14ac:dyDescent="0.5">
      <c r="A19" s="8" t="s">
        <v>96</v>
      </c>
      <c r="B19" s="8">
        <v>619.79</v>
      </c>
      <c r="C19" s="8">
        <v>975.06</v>
      </c>
      <c r="D19" s="8">
        <v>629.11</v>
      </c>
      <c r="E19" s="8">
        <v>1817.82</v>
      </c>
      <c r="F19" s="8">
        <v>1709.87</v>
      </c>
      <c r="G19" s="8">
        <v>1911.37</v>
      </c>
      <c r="H19" s="8">
        <v>3508.33</v>
      </c>
      <c r="I19" s="13">
        <v>1199.79</v>
      </c>
      <c r="J19" s="13">
        <v>2093.09</v>
      </c>
      <c r="K19" s="13">
        <v>3722.3449999999998</v>
      </c>
      <c r="L19" s="13">
        <v>2156.61</v>
      </c>
      <c r="M19" s="13">
        <v>2058.3000000000002</v>
      </c>
      <c r="N19" s="13">
        <v>838.84</v>
      </c>
      <c r="O19" s="13">
        <v>1986.67</v>
      </c>
      <c r="P19" s="8">
        <f t="shared" si="0"/>
        <v>1595.9071428571426</v>
      </c>
      <c r="Q19" s="8">
        <f t="shared" si="1"/>
        <v>2007.9492857142861</v>
      </c>
      <c r="R19" s="8">
        <f t="shared" si="2"/>
        <v>1.2581867903163007</v>
      </c>
      <c r="S19" s="12">
        <f t="shared" si="3"/>
        <v>0.43809208212520212</v>
      </c>
    </row>
    <row r="20" spans="1:19" x14ac:dyDescent="0.5">
      <c r="A20" s="8" t="s">
        <v>97</v>
      </c>
      <c r="B20" s="8">
        <v>598.5</v>
      </c>
      <c r="C20" s="8">
        <v>1164.1500000000001</v>
      </c>
      <c r="D20" s="8">
        <v>396.79</v>
      </c>
      <c r="E20" s="8">
        <v>1020.92</v>
      </c>
      <c r="F20" s="8">
        <v>814.54</v>
      </c>
      <c r="G20" s="8">
        <v>1406.36</v>
      </c>
      <c r="H20" s="8">
        <v>2063.1999999999998</v>
      </c>
      <c r="I20" s="13">
        <v>862.79</v>
      </c>
      <c r="J20" s="13">
        <v>1082.83</v>
      </c>
      <c r="K20" s="13">
        <v>1686.33</v>
      </c>
      <c r="L20" s="13">
        <v>1422.76</v>
      </c>
      <c r="M20" s="13">
        <v>1361.9</v>
      </c>
      <c r="N20" s="13">
        <v>1410.44</v>
      </c>
      <c r="O20" s="13">
        <v>1534.77</v>
      </c>
      <c r="P20" s="8">
        <f t="shared" si="0"/>
        <v>1066.3514285714286</v>
      </c>
      <c r="Q20" s="8">
        <f t="shared" si="1"/>
        <v>1337.4028571428573</v>
      </c>
      <c r="R20" s="8">
        <f t="shared" si="2"/>
        <v>1.2541858352781046</v>
      </c>
      <c r="S20" s="12">
        <f t="shared" si="3"/>
        <v>0.27081452916931509</v>
      </c>
    </row>
    <row r="21" spans="1:19" x14ac:dyDescent="0.5">
      <c r="A21" s="8" t="s">
        <v>56</v>
      </c>
      <c r="B21" s="8">
        <v>3737.2</v>
      </c>
      <c r="C21" s="8">
        <v>3762.8</v>
      </c>
      <c r="D21" s="8">
        <v>1884.23</v>
      </c>
      <c r="E21" s="8">
        <v>2859.11</v>
      </c>
      <c r="F21" s="8">
        <v>2827.34</v>
      </c>
      <c r="G21" s="8">
        <v>3730.11</v>
      </c>
      <c r="H21" s="8">
        <v>5387.65</v>
      </c>
      <c r="I21" s="13">
        <v>5816.45</v>
      </c>
      <c r="J21" s="13">
        <v>6169.90625</v>
      </c>
      <c r="K21" s="13">
        <v>3624.36</v>
      </c>
      <c r="L21" s="13">
        <v>4209.2299999999996</v>
      </c>
      <c r="M21" s="13">
        <v>2869.8</v>
      </c>
      <c r="N21" s="13">
        <v>4708.42</v>
      </c>
      <c r="O21" s="13">
        <v>2781.89</v>
      </c>
      <c r="P21" s="8">
        <f t="shared" si="0"/>
        <v>3455.491428571429</v>
      </c>
      <c r="Q21" s="8">
        <f t="shared" si="1"/>
        <v>4311.4366071428576</v>
      </c>
      <c r="R21" s="8">
        <f t="shared" si="2"/>
        <v>1.2477057739151429</v>
      </c>
      <c r="S21" s="12">
        <f t="shared" si="3"/>
        <v>0.21528986409405929</v>
      </c>
    </row>
    <row r="22" spans="1:19" x14ac:dyDescent="0.5">
      <c r="A22" s="8" t="s">
        <v>63</v>
      </c>
      <c r="B22" s="8">
        <v>6.63</v>
      </c>
      <c r="C22" s="8">
        <v>12.14</v>
      </c>
      <c r="D22" s="8">
        <v>6.79</v>
      </c>
      <c r="E22" s="8">
        <v>8.65</v>
      </c>
      <c r="F22" s="8">
        <v>7.85</v>
      </c>
      <c r="G22" s="8">
        <v>9.23</v>
      </c>
      <c r="H22" s="8">
        <v>10.7</v>
      </c>
      <c r="I22" s="13">
        <v>17.57</v>
      </c>
      <c r="J22" s="13">
        <v>12.76</v>
      </c>
      <c r="K22" s="13">
        <v>7.51</v>
      </c>
      <c r="L22" s="13">
        <v>12.44</v>
      </c>
      <c r="M22" s="13">
        <v>12.26</v>
      </c>
      <c r="N22" s="13">
        <v>7.71</v>
      </c>
      <c r="O22" s="13">
        <v>6.21</v>
      </c>
      <c r="P22" s="8">
        <f t="shared" si="0"/>
        <v>8.8557142857142868</v>
      </c>
      <c r="Q22" s="8">
        <f t="shared" si="1"/>
        <v>10.92285714285714</v>
      </c>
      <c r="R22" s="8">
        <f t="shared" si="2"/>
        <v>1.233424745926762</v>
      </c>
      <c r="S22" s="12">
        <f t="shared" si="3"/>
        <v>0.24563001807300658</v>
      </c>
    </row>
    <row r="23" spans="1:19" x14ac:dyDescent="0.5">
      <c r="A23" s="8" t="s">
        <v>45</v>
      </c>
      <c r="B23" s="8">
        <v>566.16999999999996</v>
      </c>
      <c r="C23" s="8">
        <v>523.91</v>
      </c>
      <c r="D23" s="8">
        <v>469.21</v>
      </c>
      <c r="E23" s="8">
        <v>928.11</v>
      </c>
      <c r="F23" s="8">
        <v>812.58</v>
      </c>
      <c r="G23" s="8">
        <v>530.33000000000004</v>
      </c>
      <c r="H23" s="8">
        <v>438.81</v>
      </c>
      <c r="I23" s="13">
        <v>1319.76</v>
      </c>
      <c r="J23" s="13">
        <v>1004.68</v>
      </c>
      <c r="K23" s="13">
        <v>668.29</v>
      </c>
      <c r="L23" s="13">
        <v>731.29</v>
      </c>
      <c r="M23" s="13">
        <v>665.88</v>
      </c>
      <c r="N23" s="13">
        <v>617.01</v>
      </c>
      <c r="O23" s="13">
        <v>241.79</v>
      </c>
      <c r="P23" s="8">
        <f t="shared" si="0"/>
        <v>609.87428571428575</v>
      </c>
      <c r="Q23" s="8">
        <f t="shared" si="1"/>
        <v>749.81428571428569</v>
      </c>
      <c r="R23" s="8">
        <f t="shared" si="2"/>
        <v>1.2294571246533241</v>
      </c>
      <c r="S23" s="12">
        <f t="shared" si="3"/>
        <v>0.35446964653643598</v>
      </c>
    </row>
    <row r="24" spans="1:19" x14ac:dyDescent="0.5">
      <c r="A24" s="11" t="s">
        <v>59</v>
      </c>
      <c r="B24" s="11">
        <v>103173.36</v>
      </c>
      <c r="C24" s="11">
        <v>129193.12</v>
      </c>
      <c r="D24" s="11">
        <v>84227.88</v>
      </c>
      <c r="E24" s="11">
        <v>108022.46</v>
      </c>
      <c r="F24" s="11">
        <v>123241.12</v>
      </c>
      <c r="G24" s="11">
        <v>144085.44</v>
      </c>
      <c r="H24" s="11">
        <v>91575.71</v>
      </c>
      <c r="I24" s="11">
        <v>99256.8</v>
      </c>
      <c r="J24" s="11">
        <v>146904.4</v>
      </c>
      <c r="K24" s="11">
        <v>168186.84</v>
      </c>
      <c r="L24" s="11">
        <v>132145.76</v>
      </c>
      <c r="M24" s="11">
        <v>135974.19</v>
      </c>
      <c r="N24" s="11">
        <v>135543.47</v>
      </c>
      <c r="O24" s="11">
        <v>141565.51</v>
      </c>
      <c r="P24" s="11">
        <f t="shared" si="0"/>
        <v>111931.29857142855</v>
      </c>
      <c r="Q24" s="11">
        <f t="shared" si="1"/>
        <v>137082.42428571428</v>
      </c>
      <c r="R24" s="11">
        <f t="shared" si="2"/>
        <v>1.2247014555829141</v>
      </c>
      <c r="S24" s="12">
        <f t="shared" si="3"/>
        <v>4.4479130117171348E-2</v>
      </c>
    </row>
    <row r="25" spans="1:19" x14ac:dyDescent="0.5">
      <c r="A25" s="8" t="s">
        <v>81</v>
      </c>
      <c r="B25" s="8">
        <v>365.92</v>
      </c>
      <c r="C25" s="8">
        <v>691.19</v>
      </c>
      <c r="D25" s="8">
        <v>466.82</v>
      </c>
      <c r="E25" s="8">
        <v>976.18</v>
      </c>
      <c r="F25" s="8">
        <v>696.67</v>
      </c>
      <c r="G25" s="8">
        <v>1117.8900000000001</v>
      </c>
      <c r="H25" s="8">
        <v>3105.5625</v>
      </c>
      <c r="I25" s="13">
        <v>1676.09</v>
      </c>
      <c r="J25" s="13">
        <v>1401.65</v>
      </c>
      <c r="K25" s="13">
        <v>469.46</v>
      </c>
      <c r="L25" s="13">
        <v>1676.07</v>
      </c>
      <c r="M25" s="13">
        <v>1511.44</v>
      </c>
      <c r="N25" s="13">
        <v>528.21</v>
      </c>
      <c r="O25" s="13">
        <v>1748.27</v>
      </c>
      <c r="P25" s="8">
        <f t="shared" si="0"/>
        <v>1060.0332142857144</v>
      </c>
      <c r="Q25" s="8">
        <f t="shared" si="1"/>
        <v>1287.312857142857</v>
      </c>
      <c r="R25" s="8">
        <f t="shared" si="2"/>
        <v>1.2144080391012004</v>
      </c>
      <c r="S25" s="12">
        <f t="shared" si="3"/>
        <v>0.5910634012905891</v>
      </c>
    </row>
    <row r="26" spans="1:19" x14ac:dyDescent="0.5">
      <c r="A26" s="8" t="s">
        <v>40</v>
      </c>
      <c r="B26" s="8">
        <v>25.23</v>
      </c>
      <c r="C26" s="8">
        <v>38.31</v>
      </c>
      <c r="D26" s="8">
        <v>26.78</v>
      </c>
      <c r="E26" s="8">
        <v>25.18</v>
      </c>
      <c r="F26" s="8">
        <v>16.54</v>
      </c>
      <c r="G26" s="8">
        <v>28.99</v>
      </c>
      <c r="H26" s="8">
        <v>105.25125</v>
      </c>
      <c r="I26" s="13">
        <v>81.73</v>
      </c>
      <c r="J26" s="13">
        <v>63.04</v>
      </c>
      <c r="K26" s="13">
        <v>27.48</v>
      </c>
      <c r="L26" s="13">
        <v>39.36</v>
      </c>
      <c r="M26" s="13">
        <v>26.84</v>
      </c>
      <c r="N26" s="13">
        <v>53.34</v>
      </c>
      <c r="O26" s="13">
        <v>31.16</v>
      </c>
      <c r="P26" s="8">
        <f t="shared" si="0"/>
        <v>38.040178571428569</v>
      </c>
      <c r="Q26" s="8">
        <f t="shared" si="1"/>
        <v>46.135714285714293</v>
      </c>
      <c r="R26" s="8">
        <f t="shared" si="2"/>
        <v>1.2128153972538438</v>
      </c>
      <c r="S26" s="12">
        <f t="shared" si="3"/>
        <v>0.57102733044510212</v>
      </c>
    </row>
    <row r="27" spans="1:19" x14ac:dyDescent="0.5">
      <c r="A27" s="8" t="s">
        <v>105</v>
      </c>
      <c r="B27" s="8">
        <v>1.339</v>
      </c>
      <c r="C27" s="8">
        <v>1.339</v>
      </c>
      <c r="D27" s="8">
        <v>69.66</v>
      </c>
      <c r="E27" s="8">
        <v>14.84</v>
      </c>
      <c r="F27" s="8">
        <v>309.8</v>
      </c>
      <c r="G27" s="8">
        <v>13.39</v>
      </c>
      <c r="H27" s="8">
        <v>183.37</v>
      </c>
      <c r="I27" s="13">
        <v>433.39150000000001</v>
      </c>
      <c r="J27" s="13">
        <v>113.62</v>
      </c>
      <c r="K27" s="13">
        <v>1.339</v>
      </c>
      <c r="L27" s="13">
        <v>112.97</v>
      </c>
      <c r="M27" s="13">
        <v>54.78</v>
      </c>
      <c r="N27" s="13">
        <v>1.339</v>
      </c>
      <c r="O27" s="13">
        <v>1.339</v>
      </c>
      <c r="P27" s="8">
        <f t="shared" si="0"/>
        <v>84.819714285714298</v>
      </c>
      <c r="Q27" s="8">
        <f t="shared" si="1"/>
        <v>102.68264285714289</v>
      </c>
      <c r="R27" s="8">
        <f t="shared" si="2"/>
        <v>1.2105987826280282</v>
      </c>
      <c r="S27" s="12">
        <f t="shared" si="3"/>
        <v>0.8122063171778926</v>
      </c>
    </row>
    <row r="28" spans="1:19" x14ac:dyDescent="0.5">
      <c r="A28" s="8" t="s">
        <v>57</v>
      </c>
      <c r="B28" s="8">
        <v>5.94</v>
      </c>
      <c r="C28" s="8">
        <v>10.16</v>
      </c>
      <c r="D28" s="8">
        <v>5.65</v>
      </c>
      <c r="E28" s="8">
        <v>6.74</v>
      </c>
      <c r="F28" s="8">
        <v>7.54</v>
      </c>
      <c r="G28" s="8">
        <v>7.64</v>
      </c>
      <c r="H28" s="8">
        <v>5.49</v>
      </c>
      <c r="I28" s="13">
        <v>13.24</v>
      </c>
      <c r="J28" s="13">
        <v>7.77</v>
      </c>
      <c r="K28" s="13">
        <v>5.3</v>
      </c>
      <c r="L28" s="13">
        <v>7.12</v>
      </c>
      <c r="M28" s="13">
        <v>13.313750000000001</v>
      </c>
      <c r="N28" s="13">
        <v>7.53</v>
      </c>
      <c r="O28" s="13">
        <v>5.21</v>
      </c>
      <c r="P28" s="8">
        <f t="shared" si="0"/>
        <v>7.0228571428571431</v>
      </c>
      <c r="Q28" s="8">
        <f t="shared" si="1"/>
        <v>8.4976785714285707</v>
      </c>
      <c r="R28" s="8">
        <f t="shared" si="2"/>
        <v>1.2100030512611879</v>
      </c>
      <c r="S28" s="12">
        <f t="shared" si="3"/>
        <v>0.32318633898626592</v>
      </c>
    </row>
    <row r="29" spans="1:19" x14ac:dyDescent="0.5">
      <c r="A29" s="8" t="s">
        <v>122</v>
      </c>
      <c r="B29" s="8">
        <v>91.37</v>
      </c>
      <c r="C29" s="8">
        <v>130.07</v>
      </c>
      <c r="D29" s="8">
        <v>145.72999999999999</v>
      </c>
      <c r="E29" s="8">
        <v>428.65</v>
      </c>
      <c r="F29" s="8">
        <v>171.79</v>
      </c>
      <c r="G29" s="8">
        <v>376.23</v>
      </c>
      <c r="H29" s="8">
        <v>683.94</v>
      </c>
      <c r="I29" s="13">
        <v>225.49</v>
      </c>
      <c r="J29" s="13">
        <v>380.34</v>
      </c>
      <c r="K29" s="13">
        <v>281.85000000000002</v>
      </c>
      <c r="L29" s="13">
        <v>410.7</v>
      </c>
      <c r="M29" s="13">
        <v>383.93</v>
      </c>
      <c r="N29" s="13">
        <v>187.64</v>
      </c>
      <c r="O29" s="13">
        <v>500.4</v>
      </c>
      <c r="P29" s="8">
        <f t="shared" si="0"/>
        <v>289.68285714285713</v>
      </c>
      <c r="Q29" s="8">
        <f t="shared" si="1"/>
        <v>338.62142857142857</v>
      </c>
      <c r="R29" s="8">
        <f t="shared" si="2"/>
        <v>1.1689384449989644</v>
      </c>
      <c r="S29" s="12">
        <f t="shared" si="3"/>
        <v>0.6045541755502668</v>
      </c>
    </row>
    <row r="30" spans="1:19" x14ac:dyDescent="0.5">
      <c r="A30" s="8" t="s">
        <v>37</v>
      </c>
      <c r="B30" s="8">
        <v>21.5</v>
      </c>
      <c r="C30" s="8">
        <v>15.94</v>
      </c>
      <c r="D30" s="8">
        <v>38.03</v>
      </c>
      <c r="E30" s="8">
        <v>13.92</v>
      </c>
      <c r="F30" s="8">
        <v>90.86</v>
      </c>
      <c r="G30" s="8">
        <v>6.23</v>
      </c>
      <c r="H30" s="8">
        <v>104.3425</v>
      </c>
      <c r="I30" s="13">
        <v>104.3425</v>
      </c>
      <c r="J30" s="13">
        <v>92.65</v>
      </c>
      <c r="K30" s="13">
        <v>57.85</v>
      </c>
      <c r="L30" s="13">
        <v>41.48</v>
      </c>
      <c r="M30" s="13">
        <v>10.93</v>
      </c>
      <c r="N30" s="13">
        <v>24.36</v>
      </c>
      <c r="O30" s="13">
        <v>7.93</v>
      </c>
      <c r="P30" s="8">
        <f t="shared" si="0"/>
        <v>41.54607142857143</v>
      </c>
      <c r="Q30" s="8">
        <f t="shared" si="1"/>
        <v>48.506071428571431</v>
      </c>
      <c r="R30" s="8">
        <f t="shared" si="2"/>
        <v>1.167524864823045</v>
      </c>
      <c r="S30" s="12">
        <f t="shared" si="3"/>
        <v>0.74456172936846343</v>
      </c>
    </row>
    <row r="31" spans="1:19" x14ac:dyDescent="0.5">
      <c r="A31" s="8" t="s">
        <v>69</v>
      </c>
      <c r="B31" s="8">
        <v>1261.07</v>
      </c>
      <c r="C31" s="8">
        <v>936.13</v>
      </c>
      <c r="D31" s="8">
        <v>850.77</v>
      </c>
      <c r="E31" s="8">
        <v>861.61</v>
      </c>
      <c r="F31" s="8">
        <v>1324.33</v>
      </c>
      <c r="G31" s="8">
        <v>1366.24</v>
      </c>
      <c r="H31" s="8">
        <v>1239.48</v>
      </c>
      <c r="I31" s="13">
        <v>1097.98</v>
      </c>
      <c r="J31" s="13">
        <v>1743.46</v>
      </c>
      <c r="K31" s="13">
        <v>1311.08</v>
      </c>
      <c r="L31" s="13">
        <v>1402.99</v>
      </c>
      <c r="M31" s="13">
        <v>1603.98</v>
      </c>
      <c r="N31" s="13">
        <v>1385.4</v>
      </c>
      <c r="O31" s="13">
        <v>564.27</v>
      </c>
      <c r="P31" s="8">
        <f t="shared" si="0"/>
        <v>1119.9471428571428</v>
      </c>
      <c r="Q31" s="8">
        <f t="shared" si="1"/>
        <v>1301.3085714285714</v>
      </c>
      <c r="R31" s="8">
        <f t="shared" si="2"/>
        <v>1.1619374893968211</v>
      </c>
      <c r="S31" s="12">
        <f t="shared" si="3"/>
        <v>0.30416649745905661</v>
      </c>
    </row>
    <row r="32" spans="1:19" x14ac:dyDescent="0.5">
      <c r="A32" s="8" t="s">
        <v>112</v>
      </c>
      <c r="B32" s="8">
        <v>912.93</v>
      </c>
      <c r="C32" s="8">
        <v>1546.18</v>
      </c>
      <c r="D32" s="8">
        <v>3436.5</v>
      </c>
      <c r="E32" s="8">
        <v>5959.55</v>
      </c>
      <c r="F32" s="8">
        <v>3362.33</v>
      </c>
      <c r="G32" s="8">
        <v>3674.56</v>
      </c>
      <c r="H32" s="8">
        <v>1847.26</v>
      </c>
      <c r="I32" s="13">
        <v>6023.5487499999999</v>
      </c>
      <c r="J32" s="13">
        <v>6023.5487499999999</v>
      </c>
      <c r="K32" s="13">
        <v>2572.73</v>
      </c>
      <c r="L32" s="13">
        <v>2813.82</v>
      </c>
      <c r="M32" s="13">
        <v>2092.9699999999998</v>
      </c>
      <c r="N32" s="13">
        <v>1931.73</v>
      </c>
      <c r="O32" s="13">
        <v>2577.2399999999998</v>
      </c>
      <c r="P32" s="8">
        <f t="shared" si="0"/>
        <v>2962.758571428571</v>
      </c>
      <c r="Q32" s="8">
        <f t="shared" si="1"/>
        <v>3433.6553571428572</v>
      </c>
      <c r="R32" s="8">
        <f t="shared" si="2"/>
        <v>1.1589386291057902</v>
      </c>
      <c r="S32" s="12">
        <f t="shared" si="3"/>
        <v>0.62332804516121743</v>
      </c>
    </row>
    <row r="33" spans="1:19" x14ac:dyDescent="0.5">
      <c r="A33" s="8" t="s">
        <v>70</v>
      </c>
      <c r="B33" s="8">
        <v>9.2100000000000009</v>
      </c>
      <c r="C33" s="8">
        <v>5.53</v>
      </c>
      <c r="D33" s="8">
        <v>5.32</v>
      </c>
      <c r="E33" s="8">
        <v>6.02</v>
      </c>
      <c r="F33" s="8">
        <v>12.84</v>
      </c>
      <c r="G33" s="8">
        <v>4.47</v>
      </c>
      <c r="H33" s="8">
        <v>30.32</v>
      </c>
      <c r="I33" s="13">
        <v>30.32</v>
      </c>
      <c r="J33" s="13">
        <v>25.05</v>
      </c>
      <c r="K33" s="13">
        <v>9.5299999999999994</v>
      </c>
      <c r="L33" s="13">
        <v>4.24</v>
      </c>
      <c r="M33" s="13">
        <v>5.7</v>
      </c>
      <c r="N33" s="13">
        <v>4.93</v>
      </c>
      <c r="O33" s="13">
        <v>5.31</v>
      </c>
      <c r="P33" s="8">
        <f t="shared" si="0"/>
        <v>10.530000000000001</v>
      </c>
      <c r="Q33" s="8">
        <f t="shared" si="1"/>
        <v>12.154285714285717</v>
      </c>
      <c r="R33" s="8">
        <f t="shared" si="2"/>
        <v>1.1542531542531544</v>
      </c>
      <c r="S33" s="12">
        <f t="shared" si="3"/>
        <v>0.76777432793665246</v>
      </c>
    </row>
    <row r="34" spans="1:19" x14ac:dyDescent="0.5">
      <c r="A34" s="8" t="s">
        <v>107</v>
      </c>
      <c r="B34" s="8">
        <v>2.41</v>
      </c>
      <c r="C34" s="8">
        <v>4.05</v>
      </c>
      <c r="D34" s="8">
        <v>4.13</v>
      </c>
      <c r="E34" s="8">
        <v>10.19</v>
      </c>
      <c r="F34" s="8">
        <v>4.5199999999999996</v>
      </c>
      <c r="G34" s="8">
        <v>6.32</v>
      </c>
      <c r="H34" s="8">
        <v>15.72875</v>
      </c>
      <c r="I34" s="13">
        <v>6.14</v>
      </c>
      <c r="J34" s="13">
        <v>11.15</v>
      </c>
      <c r="K34" s="13">
        <v>4.0999999999999996</v>
      </c>
      <c r="L34" s="13">
        <v>7.55</v>
      </c>
      <c r="M34" s="13">
        <v>7.28</v>
      </c>
      <c r="N34" s="13">
        <v>2.92</v>
      </c>
      <c r="O34" s="13">
        <v>15.18</v>
      </c>
      <c r="P34" s="8">
        <f t="shared" ref="P34:P65" si="4">AVERAGE(B34:H34)</f>
        <v>6.7641071428571431</v>
      </c>
      <c r="Q34" s="8">
        <f t="shared" ref="Q34:Q65" si="5">AVERAGE(I34:O34)</f>
        <v>7.76</v>
      </c>
      <c r="R34" s="8">
        <f t="shared" ref="R34:R65" si="6">Q34/P34</f>
        <v>1.147231975500937</v>
      </c>
      <c r="S34" s="12">
        <f t="shared" ref="S34:S65" si="7">_xlfn.T.TEST(B34:H34,I34:O34,2,2)</f>
        <v>0.68236370471078145</v>
      </c>
    </row>
    <row r="35" spans="1:19" x14ac:dyDescent="0.5">
      <c r="A35" s="8" t="s">
        <v>64</v>
      </c>
      <c r="B35" s="8">
        <v>81.61</v>
      </c>
      <c r="C35" s="8">
        <v>63.11</v>
      </c>
      <c r="D35" s="8">
        <v>82.19</v>
      </c>
      <c r="E35" s="8">
        <v>77.819999999999993</v>
      </c>
      <c r="F35" s="8">
        <v>94.49</v>
      </c>
      <c r="G35" s="8">
        <v>116.09</v>
      </c>
      <c r="H35" s="8">
        <v>297.81375000000003</v>
      </c>
      <c r="I35" s="13">
        <v>297.81375000000003</v>
      </c>
      <c r="J35" s="13">
        <v>185.73</v>
      </c>
      <c r="K35" s="13">
        <v>96.28</v>
      </c>
      <c r="L35" s="13">
        <v>113.26</v>
      </c>
      <c r="M35" s="13">
        <v>127.34</v>
      </c>
      <c r="N35" s="13">
        <v>107.34</v>
      </c>
      <c r="O35" s="13">
        <v>1.8520000000000001</v>
      </c>
      <c r="P35" s="8">
        <f t="shared" si="4"/>
        <v>116.16053571428573</v>
      </c>
      <c r="Q35" s="8">
        <f t="shared" si="5"/>
        <v>132.80225000000002</v>
      </c>
      <c r="R35" s="8">
        <f t="shared" si="6"/>
        <v>1.1432647859566272</v>
      </c>
      <c r="S35" s="12">
        <f t="shared" si="7"/>
        <v>0.72498709015827112</v>
      </c>
    </row>
    <row r="36" spans="1:19" x14ac:dyDescent="0.5">
      <c r="A36" s="8" t="s">
        <v>61</v>
      </c>
      <c r="B36" s="8">
        <v>35136.76</v>
      </c>
      <c r="C36" s="8">
        <v>17134.22</v>
      </c>
      <c r="D36" s="8">
        <v>39888.86</v>
      </c>
      <c r="E36" s="8">
        <v>15431.94</v>
      </c>
      <c r="F36" s="8">
        <v>37766.65</v>
      </c>
      <c r="G36" s="8">
        <v>33742.03</v>
      </c>
      <c r="H36" s="8">
        <v>31342.639999999999</v>
      </c>
      <c r="I36" s="13">
        <v>30437.82</v>
      </c>
      <c r="J36" s="13">
        <v>36639.79</v>
      </c>
      <c r="K36" s="13">
        <v>34935.74</v>
      </c>
      <c r="L36" s="13">
        <v>41696.69</v>
      </c>
      <c r="M36" s="13">
        <v>24563.11</v>
      </c>
      <c r="N36" s="13">
        <v>37235.17</v>
      </c>
      <c r="O36" s="13">
        <v>33551.339999999997</v>
      </c>
      <c r="P36" s="8">
        <f t="shared" si="4"/>
        <v>30063.299999999996</v>
      </c>
      <c r="Q36" s="8">
        <f t="shared" si="5"/>
        <v>34151.379999999997</v>
      </c>
      <c r="R36" s="8">
        <f t="shared" si="6"/>
        <v>1.1359824104472895</v>
      </c>
      <c r="S36" s="12">
        <f t="shared" si="7"/>
        <v>0.35469666122197607</v>
      </c>
    </row>
    <row r="37" spans="1:19" x14ac:dyDescent="0.5">
      <c r="A37" s="8" t="s">
        <v>72</v>
      </c>
      <c r="B37" s="8">
        <v>10.6</v>
      </c>
      <c r="C37" s="8">
        <v>19.88</v>
      </c>
      <c r="D37" s="8">
        <v>11.57</v>
      </c>
      <c r="E37" s="8">
        <v>12.75</v>
      </c>
      <c r="F37" s="8">
        <v>13.46</v>
      </c>
      <c r="G37" s="8">
        <v>13.86</v>
      </c>
      <c r="H37" s="8">
        <v>10.47</v>
      </c>
      <c r="I37" s="13">
        <v>19.97</v>
      </c>
      <c r="J37" s="13">
        <v>13.6</v>
      </c>
      <c r="K37" s="13">
        <v>9.64</v>
      </c>
      <c r="L37" s="13">
        <v>20.967500000000001</v>
      </c>
      <c r="M37" s="13">
        <v>15.68</v>
      </c>
      <c r="N37" s="13">
        <v>11.79</v>
      </c>
      <c r="O37" s="13">
        <v>13.04</v>
      </c>
      <c r="P37" s="8">
        <f t="shared" si="4"/>
        <v>13.227142857142855</v>
      </c>
      <c r="Q37" s="8">
        <f t="shared" si="5"/>
        <v>14.955357142857142</v>
      </c>
      <c r="R37" s="8">
        <f t="shared" si="6"/>
        <v>1.130656658386435</v>
      </c>
      <c r="S37" s="12">
        <f t="shared" si="7"/>
        <v>0.40418354938249579</v>
      </c>
    </row>
    <row r="38" spans="1:19" x14ac:dyDescent="0.5">
      <c r="A38" s="8" t="s">
        <v>90</v>
      </c>
      <c r="B38" s="8">
        <v>2408.9699999999998</v>
      </c>
      <c r="C38" s="8">
        <v>3734.33</v>
      </c>
      <c r="D38" s="8">
        <v>9225.1</v>
      </c>
      <c r="E38" s="8">
        <v>6204.83</v>
      </c>
      <c r="F38" s="8">
        <v>3767.76</v>
      </c>
      <c r="G38" s="8">
        <v>8984.49</v>
      </c>
      <c r="H38" s="8">
        <v>4341.1899999999996</v>
      </c>
      <c r="I38" s="13">
        <v>5361.53</v>
      </c>
      <c r="J38" s="13">
        <v>4154.8500000000004</v>
      </c>
      <c r="K38" s="13">
        <v>6333.67</v>
      </c>
      <c r="L38" s="13">
        <v>7225.06</v>
      </c>
      <c r="M38" s="13">
        <v>8870.2900000000009</v>
      </c>
      <c r="N38" s="13">
        <v>7387.17</v>
      </c>
      <c r="O38" s="13">
        <v>4248.3999999999996</v>
      </c>
      <c r="P38" s="8">
        <f t="shared" si="4"/>
        <v>5523.8099999999995</v>
      </c>
      <c r="Q38" s="8">
        <f t="shared" si="5"/>
        <v>6225.8528571428569</v>
      </c>
      <c r="R38" s="8">
        <f t="shared" si="6"/>
        <v>1.127093954560866</v>
      </c>
      <c r="S38" s="12">
        <f t="shared" si="7"/>
        <v>0.5735331679208544</v>
      </c>
    </row>
    <row r="39" spans="1:19" s="11" customFormat="1" x14ac:dyDescent="0.5">
      <c r="A39" s="8" t="s">
        <v>47</v>
      </c>
      <c r="B39" s="8">
        <v>112.46</v>
      </c>
      <c r="C39" s="8">
        <v>101.1</v>
      </c>
      <c r="D39" s="8">
        <v>117.14</v>
      </c>
      <c r="E39" s="8">
        <v>332.56</v>
      </c>
      <c r="F39" s="8">
        <v>140.55000000000001</v>
      </c>
      <c r="G39" s="8">
        <v>197.06</v>
      </c>
      <c r="H39" s="8">
        <v>531.50125000000003</v>
      </c>
      <c r="I39" s="13">
        <v>362.56</v>
      </c>
      <c r="J39" s="13">
        <v>377.47</v>
      </c>
      <c r="K39" s="13">
        <v>143.69</v>
      </c>
      <c r="L39" s="13">
        <v>203.44</v>
      </c>
      <c r="M39" s="13">
        <v>148.6</v>
      </c>
      <c r="N39" s="13">
        <v>348.85</v>
      </c>
      <c r="O39" s="13">
        <v>119.29</v>
      </c>
      <c r="P39" s="8">
        <f t="shared" si="4"/>
        <v>218.91017857142856</v>
      </c>
      <c r="Q39" s="8">
        <f t="shared" si="5"/>
        <v>243.41428571428574</v>
      </c>
      <c r="R39" s="8">
        <f t="shared" si="6"/>
        <v>1.1119368103519303</v>
      </c>
      <c r="S39" s="12">
        <f t="shared" si="7"/>
        <v>0.74733019587242344</v>
      </c>
    </row>
    <row r="40" spans="1:19" x14ac:dyDescent="0.5">
      <c r="A40" s="8" t="s">
        <v>138</v>
      </c>
      <c r="B40" s="8">
        <v>102.81</v>
      </c>
      <c r="C40" s="8">
        <v>189.82</v>
      </c>
      <c r="D40" s="8">
        <v>161.6</v>
      </c>
      <c r="E40" s="8">
        <v>631.67999999999995</v>
      </c>
      <c r="F40" s="8">
        <v>312.70999999999998</v>
      </c>
      <c r="G40" s="8">
        <v>332.82</v>
      </c>
      <c r="H40" s="8">
        <v>374.35</v>
      </c>
      <c r="I40" s="13">
        <v>177.9</v>
      </c>
      <c r="J40" s="13">
        <v>428.94</v>
      </c>
      <c r="K40" s="13">
        <v>201.45</v>
      </c>
      <c r="L40" s="13">
        <v>187.02</v>
      </c>
      <c r="M40" s="13">
        <v>268.43</v>
      </c>
      <c r="N40" s="13">
        <v>260.74</v>
      </c>
      <c r="O40" s="13">
        <v>794.1925</v>
      </c>
      <c r="P40" s="8">
        <f t="shared" si="4"/>
        <v>300.82714285714286</v>
      </c>
      <c r="Q40" s="8">
        <f t="shared" si="5"/>
        <v>331.23892857142857</v>
      </c>
      <c r="R40" s="8">
        <f t="shared" si="6"/>
        <v>1.1010938887543391</v>
      </c>
      <c r="S40" s="12">
        <f t="shared" si="7"/>
        <v>0.78109313490904764</v>
      </c>
    </row>
    <row r="41" spans="1:19" x14ac:dyDescent="0.5">
      <c r="A41" s="8" t="s">
        <v>116</v>
      </c>
      <c r="B41" s="8">
        <v>10532.33</v>
      </c>
      <c r="C41" s="8">
        <v>12885.44</v>
      </c>
      <c r="D41" s="8">
        <v>10781.13</v>
      </c>
      <c r="E41" s="8">
        <v>17306.29</v>
      </c>
      <c r="F41" s="8">
        <v>9464.92</v>
      </c>
      <c r="G41" s="8">
        <v>15406.93</v>
      </c>
      <c r="H41" s="8">
        <v>19334.830000000002</v>
      </c>
      <c r="I41" s="13">
        <v>9069.91</v>
      </c>
      <c r="J41" s="13">
        <v>16919.86</v>
      </c>
      <c r="K41" s="13">
        <v>13817.87</v>
      </c>
      <c r="L41" s="13">
        <v>16380.93</v>
      </c>
      <c r="M41" s="13">
        <v>14326.91</v>
      </c>
      <c r="N41" s="13">
        <v>16028.26</v>
      </c>
      <c r="O41" s="13">
        <v>18269.93</v>
      </c>
      <c r="P41" s="8">
        <f t="shared" si="4"/>
        <v>13673.124285714288</v>
      </c>
      <c r="Q41" s="8">
        <f t="shared" si="5"/>
        <v>14973.381428571427</v>
      </c>
      <c r="R41" s="8">
        <f t="shared" si="6"/>
        <v>1.0950958329410967</v>
      </c>
      <c r="S41" s="12">
        <f t="shared" si="7"/>
        <v>0.48870762617277308</v>
      </c>
    </row>
    <row r="42" spans="1:19" x14ac:dyDescent="0.5">
      <c r="A42" s="8" t="s">
        <v>108</v>
      </c>
      <c r="B42" s="8">
        <v>885.37</v>
      </c>
      <c r="C42" s="8">
        <v>1370.27</v>
      </c>
      <c r="D42" s="8">
        <v>1437.15</v>
      </c>
      <c r="E42" s="8">
        <v>1644.02</v>
      </c>
      <c r="F42" s="8">
        <v>1472.21</v>
      </c>
      <c r="G42" s="8">
        <v>1821.69</v>
      </c>
      <c r="H42" s="8">
        <v>3247.99</v>
      </c>
      <c r="I42" s="13">
        <v>2214.5</v>
      </c>
      <c r="J42" s="13">
        <v>2208.44</v>
      </c>
      <c r="K42" s="13">
        <v>1191.21</v>
      </c>
      <c r="L42" s="13">
        <v>2608.17</v>
      </c>
      <c r="M42" s="13">
        <v>1996.82</v>
      </c>
      <c r="N42" s="13">
        <v>970.98</v>
      </c>
      <c r="O42" s="13">
        <v>1674.24</v>
      </c>
      <c r="P42" s="8">
        <f t="shared" si="4"/>
        <v>1696.9571428571428</v>
      </c>
      <c r="Q42" s="8">
        <f t="shared" si="5"/>
        <v>1837.765714285714</v>
      </c>
      <c r="R42" s="8">
        <f t="shared" si="6"/>
        <v>1.0829770934529872</v>
      </c>
      <c r="S42" s="12">
        <f t="shared" si="7"/>
        <v>0.70147490686542535</v>
      </c>
    </row>
    <row r="43" spans="1:19" x14ac:dyDescent="0.5">
      <c r="A43" s="8" t="s">
        <v>88</v>
      </c>
      <c r="B43" s="8">
        <v>52.28</v>
      </c>
      <c r="C43" s="8">
        <v>205.02</v>
      </c>
      <c r="D43" s="8">
        <v>82.86</v>
      </c>
      <c r="E43" s="8">
        <v>143.26</v>
      </c>
      <c r="F43" s="8">
        <v>114.84</v>
      </c>
      <c r="G43" s="8">
        <v>147.99</v>
      </c>
      <c r="H43" s="8">
        <v>318.43</v>
      </c>
      <c r="I43" s="13">
        <v>122.14</v>
      </c>
      <c r="J43" s="13">
        <v>200.28</v>
      </c>
      <c r="K43" s="13">
        <v>99.53</v>
      </c>
      <c r="L43" s="13">
        <v>224.3</v>
      </c>
      <c r="M43" s="13">
        <v>184.1</v>
      </c>
      <c r="N43" s="13">
        <v>104.48</v>
      </c>
      <c r="O43" s="13">
        <v>215.61</v>
      </c>
      <c r="P43" s="8">
        <f t="shared" si="4"/>
        <v>152.09714285714287</v>
      </c>
      <c r="Q43" s="8">
        <f t="shared" si="5"/>
        <v>164.34857142857143</v>
      </c>
      <c r="R43" s="8">
        <f t="shared" si="6"/>
        <v>1.0805500244204831</v>
      </c>
      <c r="S43" s="12">
        <f t="shared" si="7"/>
        <v>0.75934714187899388</v>
      </c>
    </row>
    <row r="44" spans="1:19" x14ac:dyDescent="0.5">
      <c r="A44" s="8" t="s">
        <v>98</v>
      </c>
      <c r="B44" s="8">
        <v>4448.8</v>
      </c>
      <c r="C44" s="8">
        <v>4276.8100000000004</v>
      </c>
      <c r="D44" s="8">
        <v>1702.42</v>
      </c>
      <c r="E44" s="8">
        <v>2520.0100000000002</v>
      </c>
      <c r="F44" s="8">
        <v>4051.79</v>
      </c>
      <c r="G44" s="8">
        <v>3094.29</v>
      </c>
      <c r="H44" s="8">
        <v>2788.89</v>
      </c>
      <c r="I44" s="13">
        <v>6408.82</v>
      </c>
      <c r="J44" s="13">
        <v>5599.64</v>
      </c>
      <c r="K44" s="13">
        <v>427.56</v>
      </c>
      <c r="L44" s="13">
        <v>4212.92</v>
      </c>
      <c r="M44" s="13">
        <v>4600.53</v>
      </c>
      <c r="N44" s="13">
        <v>2214.7399999999998</v>
      </c>
      <c r="O44" s="13">
        <v>1240.27</v>
      </c>
      <c r="P44" s="8">
        <f t="shared" si="4"/>
        <v>3269.0014285714287</v>
      </c>
      <c r="Q44" s="8">
        <f t="shared" si="5"/>
        <v>3529.2114285714283</v>
      </c>
      <c r="R44" s="8">
        <f t="shared" si="6"/>
        <v>1.0795992310452165</v>
      </c>
      <c r="S44" s="12">
        <f t="shared" si="7"/>
        <v>0.78653625248939374</v>
      </c>
    </row>
    <row r="45" spans="1:19" x14ac:dyDescent="0.5">
      <c r="A45" s="11" t="s">
        <v>111</v>
      </c>
      <c r="B45" s="11">
        <v>8898.07</v>
      </c>
      <c r="C45" s="11">
        <v>8898.07</v>
      </c>
      <c r="D45" s="11">
        <v>8111.46</v>
      </c>
      <c r="E45" s="11">
        <v>8817.91</v>
      </c>
      <c r="F45" s="11">
        <v>7697.86</v>
      </c>
      <c r="G45" s="11">
        <v>8636.0300000000007</v>
      </c>
      <c r="H45" s="11">
        <v>8075.91</v>
      </c>
      <c r="I45" s="14">
        <v>9247.76</v>
      </c>
      <c r="J45" s="14">
        <v>9051.73</v>
      </c>
      <c r="K45" s="14">
        <v>8896.6299999999992</v>
      </c>
      <c r="L45" s="14">
        <v>9456.5</v>
      </c>
      <c r="M45" s="14">
        <v>8557.31</v>
      </c>
      <c r="N45" s="14">
        <v>8756.99</v>
      </c>
      <c r="O45" s="14">
        <v>9667.6299999999992</v>
      </c>
      <c r="P45" s="11">
        <f t="shared" si="4"/>
        <v>8447.9014285714275</v>
      </c>
      <c r="Q45" s="11">
        <f t="shared" si="5"/>
        <v>9090.6499999999978</v>
      </c>
      <c r="R45" s="11">
        <f t="shared" si="6"/>
        <v>1.0760838152366157</v>
      </c>
      <c r="S45" s="12">
        <f t="shared" si="7"/>
        <v>1.8068324008824424E-2</v>
      </c>
    </row>
    <row r="46" spans="1:19" x14ac:dyDescent="0.5">
      <c r="A46" s="8" t="s">
        <v>86</v>
      </c>
      <c r="B46" s="8">
        <v>721.09</v>
      </c>
      <c r="C46" s="8">
        <v>1406.41</v>
      </c>
      <c r="D46" s="8">
        <v>2171.23</v>
      </c>
      <c r="E46" s="8">
        <v>2052.4</v>
      </c>
      <c r="F46" s="8">
        <v>3118.12</v>
      </c>
      <c r="G46" s="8">
        <v>2128.17</v>
      </c>
      <c r="H46" s="8">
        <v>2589.58</v>
      </c>
      <c r="I46" s="13">
        <v>3316.85</v>
      </c>
      <c r="J46" s="13">
        <v>2155.9</v>
      </c>
      <c r="K46" s="13">
        <v>1277.9000000000001</v>
      </c>
      <c r="L46" s="13">
        <v>2738.48</v>
      </c>
      <c r="M46" s="13">
        <v>2068.5700000000002</v>
      </c>
      <c r="N46" s="13">
        <v>2253.34</v>
      </c>
      <c r="O46" s="13">
        <v>1439.03</v>
      </c>
      <c r="P46" s="8">
        <f t="shared" si="4"/>
        <v>2026.7142857142858</v>
      </c>
      <c r="Q46" s="8">
        <f t="shared" si="5"/>
        <v>2178.5814285714287</v>
      </c>
      <c r="R46" s="8">
        <f t="shared" si="6"/>
        <v>1.0749326848523295</v>
      </c>
      <c r="S46" s="12">
        <f t="shared" si="7"/>
        <v>0.70865187852535128</v>
      </c>
    </row>
    <row r="47" spans="1:19" x14ac:dyDescent="0.5">
      <c r="A47" s="8" t="s">
        <v>115</v>
      </c>
      <c r="B47" s="8">
        <v>252.35</v>
      </c>
      <c r="C47" s="8">
        <v>589.41</v>
      </c>
      <c r="D47" s="8">
        <v>373.06</v>
      </c>
      <c r="E47" s="8">
        <v>843.33</v>
      </c>
      <c r="F47" s="8">
        <v>1311.04</v>
      </c>
      <c r="G47" s="8">
        <v>1108.96</v>
      </c>
      <c r="H47" s="8">
        <v>388.84</v>
      </c>
      <c r="I47" s="13">
        <v>656.67</v>
      </c>
      <c r="J47" s="13">
        <v>1046.45</v>
      </c>
      <c r="K47" s="13">
        <v>892.88</v>
      </c>
      <c r="L47" s="13">
        <v>1055.07</v>
      </c>
      <c r="M47" s="13">
        <v>591.24</v>
      </c>
      <c r="N47" s="13">
        <v>330.49</v>
      </c>
      <c r="O47" s="13">
        <v>638.32000000000005</v>
      </c>
      <c r="P47" s="8">
        <f t="shared" si="4"/>
        <v>695.28428571428572</v>
      </c>
      <c r="Q47" s="8">
        <f t="shared" si="5"/>
        <v>744.44571428571419</v>
      </c>
      <c r="R47" s="8">
        <f t="shared" si="6"/>
        <v>1.0707069461823426</v>
      </c>
      <c r="S47" s="12">
        <f t="shared" si="7"/>
        <v>0.79235959113848986</v>
      </c>
    </row>
    <row r="48" spans="1:19" x14ac:dyDescent="0.5">
      <c r="A48" s="8" t="s">
        <v>118</v>
      </c>
      <c r="B48" s="8">
        <v>19501.25</v>
      </c>
      <c r="C48" s="8">
        <v>18937.22</v>
      </c>
      <c r="D48" s="8">
        <v>14489.34</v>
      </c>
      <c r="E48" s="8">
        <v>20946.02</v>
      </c>
      <c r="F48" s="8">
        <v>14170.09</v>
      </c>
      <c r="G48" s="8">
        <v>18829.27</v>
      </c>
      <c r="H48" s="8">
        <v>17669.03</v>
      </c>
      <c r="I48" s="13">
        <v>21196.68</v>
      </c>
      <c r="J48" s="13">
        <v>24832.838749999999</v>
      </c>
      <c r="K48" s="13">
        <v>16478.259999999998</v>
      </c>
      <c r="L48" s="13">
        <v>18581.759999999998</v>
      </c>
      <c r="M48" s="13">
        <v>17844.66</v>
      </c>
      <c r="N48" s="13">
        <v>18602.349999999999</v>
      </c>
      <c r="O48" s="13">
        <v>14664.09</v>
      </c>
      <c r="P48" s="8">
        <f t="shared" si="4"/>
        <v>17791.745714285713</v>
      </c>
      <c r="Q48" s="8">
        <f t="shared" si="5"/>
        <v>18885.805535714284</v>
      </c>
      <c r="R48" s="8">
        <f t="shared" si="6"/>
        <v>1.0614925504780628</v>
      </c>
      <c r="S48" s="12">
        <f t="shared" si="7"/>
        <v>0.50190392482329549</v>
      </c>
    </row>
    <row r="49" spans="1:19" x14ac:dyDescent="0.5">
      <c r="A49" s="8" t="s">
        <v>102</v>
      </c>
      <c r="B49" s="8">
        <v>240.84</v>
      </c>
      <c r="C49" s="8">
        <v>321.43</v>
      </c>
      <c r="D49" s="8">
        <v>312.41000000000003</v>
      </c>
      <c r="E49" s="8">
        <v>529.52</v>
      </c>
      <c r="F49" s="8">
        <v>440.6</v>
      </c>
      <c r="G49" s="8">
        <v>638.92999999999995</v>
      </c>
      <c r="H49" s="8">
        <v>875.86249999999995</v>
      </c>
      <c r="I49" s="13">
        <v>578.84</v>
      </c>
      <c r="J49" s="13">
        <v>483.41</v>
      </c>
      <c r="K49" s="13">
        <v>217.44</v>
      </c>
      <c r="L49" s="13">
        <v>710.64</v>
      </c>
      <c r="M49" s="13">
        <v>634.41999999999996</v>
      </c>
      <c r="N49" s="13">
        <v>407.04</v>
      </c>
      <c r="O49" s="13">
        <v>522.55999999999995</v>
      </c>
      <c r="P49" s="8">
        <f t="shared" si="4"/>
        <v>479.94178571428569</v>
      </c>
      <c r="Q49" s="8">
        <f t="shared" si="5"/>
        <v>507.76428571428568</v>
      </c>
      <c r="R49" s="8">
        <f t="shared" si="6"/>
        <v>1.0579705723238755</v>
      </c>
      <c r="S49" s="12">
        <f t="shared" si="7"/>
        <v>0.79352510181207148</v>
      </c>
    </row>
    <row r="50" spans="1:19" x14ac:dyDescent="0.5">
      <c r="A50" s="8" t="s">
        <v>130</v>
      </c>
      <c r="B50" s="8">
        <v>41929.269999999997</v>
      </c>
      <c r="C50" s="8">
        <v>63963.53</v>
      </c>
      <c r="D50" s="8">
        <v>43659.63</v>
      </c>
      <c r="E50" s="8">
        <v>79416.97</v>
      </c>
      <c r="F50" s="8">
        <v>87070.33</v>
      </c>
      <c r="G50" s="8">
        <v>72179.360000000001</v>
      </c>
      <c r="H50" s="8">
        <v>59123.8</v>
      </c>
      <c r="I50" s="13">
        <v>63036.32</v>
      </c>
      <c r="J50" s="13">
        <v>65384.03</v>
      </c>
      <c r="K50" s="13">
        <v>75796.36</v>
      </c>
      <c r="L50" s="13">
        <v>49696.2</v>
      </c>
      <c r="M50" s="13">
        <v>67399.37</v>
      </c>
      <c r="N50" s="13">
        <v>83834.880000000005</v>
      </c>
      <c r="O50" s="13">
        <v>66959.67</v>
      </c>
      <c r="P50" s="8">
        <f t="shared" si="4"/>
        <v>63906.127142857134</v>
      </c>
      <c r="Q50" s="8">
        <f t="shared" si="5"/>
        <v>67443.832857142857</v>
      </c>
      <c r="R50" s="8">
        <f t="shared" si="6"/>
        <v>1.055357848651624</v>
      </c>
      <c r="S50" s="12">
        <f t="shared" si="7"/>
        <v>0.65076701159580064</v>
      </c>
    </row>
    <row r="51" spans="1:19" x14ac:dyDescent="0.5">
      <c r="A51" s="8" t="s">
        <v>78</v>
      </c>
      <c r="B51" s="8">
        <v>317.02</v>
      </c>
      <c r="C51" s="8">
        <v>357.76</v>
      </c>
      <c r="D51" s="8">
        <v>503.61</v>
      </c>
      <c r="E51" s="8">
        <v>440.96</v>
      </c>
      <c r="F51" s="8">
        <v>373.95</v>
      </c>
      <c r="G51" s="8">
        <v>402.76</v>
      </c>
      <c r="H51" s="8">
        <v>321.52999999999997</v>
      </c>
      <c r="I51" s="13">
        <v>661.67</v>
      </c>
      <c r="J51" s="13">
        <v>557.54</v>
      </c>
      <c r="K51" s="13">
        <v>348.07</v>
      </c>
      <c r="L51" s="13">
        <v>358.14</v>
      </c>
      <c r="M51" s="13">
        <v>361.39</v>
      </c>
      <c r="N51" s="13">
        <v>314.72000000000003</v>
      </c>
      <c r="O51" s="13">
        <v>254.41</v>
      </c>
      <c r="P51" s="8">
        <f t="shared" si="4"/>
        <v>388.22714285714289</v>
      </c>
      <c r="Q51" s="8">
        <f t="shared" si="5"/>
        <v>407.99142857142851</v>
      </c>
      <c r="R51" s="8">
        <f t="shared" si="6"/>
        <v>1.0509090775282508</v>
      </c>
      <c r="S51" s="12">
        <f t="shared" si="7"/>
        <v>0.74990915006140901</v>
      </c>
    </row>
    <row r="52" spans="1:19" x14ac:dyDescent="0.5">
      <c r="A52" s="8" t="s">
        <v>89</v>
      </c>
      <c r="B52" s="8">
        <v>919.93</v>
      </c>
      <c r="C52" s="8">
        <v>886.8</v>
      </c>
      <c r="D52" s="8">
        <v>937.17</v>
      </c>
      <c r="E52" s="8">
        <v>821.73</v>
      </c>
      <c r="F52" s="8">
        <v>1150.6600000000001</v>
      </c>
      <c r="G52" s="8">
        <v>684.38</v>
      </c>
      <c r="H52" s="8">
        <v>1261.28</v>
      </c>
      <c r="I52" s="13">
        <v>1278.4000000000001</v>
      </c>
      <c r="J52" s="13">
        <v>772.15</v>
      </c>
      <c r="K52" s="13">
        <v>983.66</v>
      </c>
      <c r="L52" s="13">
        <v>1018.81</v>
      </c>
      <c r="M52" s="13">
        <v>920.68</v>
      </c>
      <c r="N52" s="13">
        <v>1069.3399999999999</v>
      </c>
      <c r="O52" s="13">
        <v>921.79</v>
      </c>
      <c r="P52" s="8">
        <f t="shared" si="4"/>
        <v>951.7071428571428</v>
      </c>
      <c r="Q52" s="8">
        <f t="shared" si="5"/>
        <v>994.97571428571428</v>
      </c>
      <c r="R52" s="8">
        <f t="shared" si="6"/>
        <v>1.0454641658973725</v>
      </c>
      <c r="S52" s="12">
        <f t="shared" si="7"/>
        <v>0.6557465386075424</v>
      </c>
    </row>
    <row r="53" spans="1:19" x14ac:dyDescent="0.5">
      <c r="A53" s="8" t="s">
        <v>132</v>
      </c>
      <c r="B53" s="8">
        <v>12855.52</v>
      </c>
      <c r="C53" s="8">
        <v>17421.64</v>
      </c>
      <c r="D53" s="8">
        <v>15195.29</v>
      </c>
      <c r="E53" s="8">
        <v>13816.76</v>
      </c>
      <c r="F53" s="8">
        <v>20473.79</v>
      </c>
      <c r="G53" s="8">
        <v>18483.53</v>
      </c>
      <c r="H53" s="8">
        <v>15463.61</v>
      </c>
      <c r="I53" s="13">
        <v>16546.97</v>
      </c>
      <c r="J53" s="13">
        <v>21475.279999999999</v>
      </c>
      <c r="K53" s="13">
        <v>18815.55</v>
      </c>
      <c r="L53" s="13">
        <v>19588.93</v>
      </c>
      <c r="M53" s="13">
        <v>14678.94</v>
      </c>
      <c r="N53" s="13">
        <v>13554.67</v>
      </c>
      <c r="O53" s="13">
        <v>14101.49</v>
      </c>
      <c r="P53" s="8">
        <f t="shared" si="4"/>
        <v>16244.305714285714</v>
      </c>
      <c r="Q53" s="8">
        <f t="shared" si="5"/>
        <v>16965.975714285716</v>
      </c>
      <c r="R53" s="8">
        <f t="shared" si="6"/>
        <v>1.0444260292002103</v>
      </c>
      <c r="S53" s="12">
        <f t="shared" si="7"/>
        <v>0.64717069787105586</v>
      </c>
    </row>
    <row r="54" spans="1:19" x14ac:dyDescent="0.5">
      <c r="A54" s="8" t="s">
        <v>65</v>
      </c>
      <c r="B54" s="8">
        <v>477.96</v>
      </c>
      <c r="C54" s="8">
        <v>457.94</v>
      </c>
      <c r="D54" s="8">
        <v>807.3</v>
      </c>
      <c r="E54" s="8">
        <v>825.18</v>
      </c>
      <c r="F54" s="8">
        <v>795.88</v>
      </c>
      <c r="G54" s="8">
        <v>637.73</v>
      </c>
      <c r="H54" s="8">
        <v>837.25</v>
      </c>
      <c r="I54" s="13">
        <v>1369.1775</v>
      </c>
      <c r="J54" s="13">
        <v>945.04</v>
      </c>
      <c r="K54" s="13">
        <v>438.77</v>
      </c>
      <c r="L54" s="13">
        <v>679.79</v>
      </c>
      <c r="M54" s="13">
        <v>448.28</v>
      </c>
      <c r="N54" s="13">
        <v>590.80999999999995</v>
      </c>
      <c r="O54" s="13">
        <v>518.28</v>
      </c>
      <c r="P54" s="8">
        <f t="shared" si="4"/>
        <v>691.31999999999994</v>
      </c>
      <c r="Q54" s="8">
        <f t="shared" si="5"/>
        <v>712.87821428571431</v>
      </c>
      <c r="R54" s="8">
        <f t="shared" si="6"/>
        <v>1.0311841322191089</v>
      </c>
      <c r="S54" s="12">
        <f t="shared" si="7"/>
        <v>0.88207414822378538</v>
      </c>
    </row>
    <row r="55" spans="1:19" x14ac:dyDescent="0.5">
      <c r="A55" s="8" t="s">
        <v>33</v>
      </c>
      <c r="B55" s="8">
        <v>87.37</v>
      </c>
      <c r="C55" s="8">
        <v>131.84</v>
      </c>
      <c r="D55" s="8">
        <v>97.55</v>
      </c>
      <c r="E55" s="8">
        <v>112.99</v>
      </c>
      <c r="F55" s="8">
        <v>94.41</v>
      </c>
      <c r="G55" s="8">
        <v>171.22</v>
      </c>
      <c r="H55" s="8">
        <v>74.98</v>
      </c>
      <c r="I55" s="13">
        <v>129.09</v>
      </c>
      <c r="J55" s="13">
        <v>157.47</v>
      </c>
      <c r="K55" s="13">
        <v>108.18</v>
      </c>
      <c r="L55" s="13">
        <v>106.81</v>
      </c>
      <c r="M55" s="13">
        <v>129.34</v>
      </c>
      <c r="N55" s="13">
        <v>95.57</v>
      </c>
      <c r="O55" s="13">
        <v>63.36</v>
      </c>
      <c r="P55" s="8">
        <f t="shared" si="4"/>
        <v>110.05142857142857</v>
      </c>
      <c r="Q55" s="8">
        <f t="shared" si="5"/>
        <v>112.83142857142857</v>
      </c>
      <c r="R55" s="8">
        <f t="shared" si="6"/>
        <v>1.0252609169738824</v>
      </c>
      <c r="S55" s="12">
        <f t="shared" si="7"/>
        <v>0.8705051828234136</v>
      </c>
    </row>
    <row r="56" spans="1:19" x14ac:dyDescent="0.5">
      <c r="A56" s="8" t="s">
        <v>93</v>
      </c>
      <c r="B56" s="8">
        <v>1399.68</v>
      </c>
      <c r="C56" s="8">
        <v>2954.04</v>
      </c>
      <c r="D56" s="8">
        <v>1625.8</v>
      </c>
      <c r="E56" s="8">
        <v>3710.34</v>
      </c>
      <c r="F56" s="8">
        <v>2204.2399999999998</v>
      </c>
      <c r="G56" s="8">
        <v>4380.05</v>
      </c>
      <c r="H56" s="8">
        <v>3929.36</v>
      </c>
      <c r="I56" s="13">
        <v>2203.25</v>
      </c>
      <c r="J56" s="13">
        <v>3370.33</v>
      </c>
      <c r="K56" s="13">
        <v>6154.49</v>
      </c>
      <c r="L56" s="13">
        <v>2334.98</v>
      </c>
      <c r="M56" s="13">
        <v>1702.93</v>
      </c>
      <c r="N56" s="13">
        <v>1092.03</v>
      </c>
      <c r="O56" s="13">
        <v>3611.39</v>
      </c>
      <c r="P56" s="8">
        <f t="shared" si="4"/>
        <v>2886.2157142857145</v>
      </c>
      <c r="Q56" s="8">
        <f t="shared" si="5"/>
        <v>2924.2</v>
      </c>
      <c r="R56" s="8">
        <f t="shared" si="6"/>
        <v>1.0131605844726979</v>
      </c>
      <c r="S56" s="12">
        <f t="shared" si="7"/>
        <v>0.96161106932537566</v>
      </c>
    </row>
    <row r="57" spans="1:19" x14ac:dyDescent="0.5">
      <c r="A57" s="8" t="s">
        <v>55</v>
      </c>
      <c r="B57" s="8">
        <v>172.01</v>
      </c>
      <c r="C57" s="8">
        <v>266.05</v>
      </c>
      <c r="D57" s="8">
        <v>396.56</v>
      </c>
      <c r="E57" s="8">
        <v>235.93</v>
      </c>
      <c r="F57" s="8">
        <v>275.68</v>
      </c>
      <c r="G57" s="8">
        <v>246.3</v>
      </c>
      <c r="H57" s="8">
        <v>953.81500000000005</v>
      </c>
      <c r="I57" s="13">
        <v>953.81500000000005</v>
      </c>
      <c r="J57" s="13">
        <v>898.67</v>
      </c>
      <c r="K57" s="13">
        <v>306.26</v>
      </c>
      <c r="L57" s="13">
        <v>177.11</v>
      </c>
      <c r="M57" s="13">
        <v>110.07</v>
      </c>
      <c r="N57" s="13">
        <v>82.03</v>
      </c>
      <c r="O57" s="13">
        <v>49.78</v>
      </c>
      <c r="P57" s="8">
        <f t="shared" si="4"/>
        <v>363.76357142857148</v>
      </c>
      <c r="Q57" s="8">
        <f t="shared" si="5"/>
        <v>368.24785714285724</v>
      </c>
      <c r="R57" s="8">
        <f t="shared" si="6"/>
        <v>1.0123274732999654</v>
      </c>
      <c r="S57" s="12">
        <f t="shared" si="7"/>
        <v>0.9804423604263014</v>
      </c>
    </row>
    <row r="58" spans="1:19" x14ac:dyDescent="0.5">
      <c r="A58" s="8" t="s">
        <v>109</v>
      </c>
      <c r="B58" s="8">
        <v>10294.709999999999</v>
      </c>
      <c r="C58" s="8">
        <v>8173.9</v>
      </c>
      <c r="D58" s="8">
        <v>10416.299999999999</v>
      </c>
      <c r="E58" s="8">
        <v>12004.73</v>
      </c>
      <c r="F58" s="8">
        <v>13495.78</v>
      </c>
      <c r="G58" s="8">
        <v>13569.05</v>
      </c>
      <c r="H58" s="8">
        <v>13793.29</v>
      </c>
      <c r="I58" s="13">
        <v>11862.9</v>
      </c>
      <c r="J58" s="13">
        <v>13946.57</v>
      </c>
      <c r="K58" s="13">
        <v>11309.81</v>
      </c>
      <c r="L58" s="13">
        <v>13830.88</v>
      </c>
      <c r="M58" s="13">
        <v>11652.18</v>
      </c>
      <c r="N58" s="13">
        <v>9786.56</v>
      </c>
      <c r="O58" s="13">
        <v>10198.59</v>
      </c>
      <c r="P58" s="8">
        <f t="shared" si="4"/>
        <v>11678.25142857143</v>
      </c>
      <c r="Q58" s="8">
        <f t="shared" si="5"/>
        <v>11798.212857142857</v>
      </c>
      <c r="R58" s="8">
        <f t="shared" si="6"/>
        <v>1.0102722080702882</v>
      </c>
      <c r="S58" s="12">
        <f t="shared" si="7"/>
        <v>0.90743939611813529</v>
      </c>
    </row>
    <row r="59" spans="1:19" x14ac:dyDescent="0.5">
      <c r="A59" s="8" t="s">
        <v>126</v>
      </c>
      <c r="B59" s="8">
        <v>100236.75</v>
      </c>
      <c r="C59" s="8">
        <v>96932.65</v>
      </c>
      <c r="D59" s="8">
        <v>92285.31</v>
      </c>
      <c r="E59" s="8">
        <v>98651.32</v>
      </c>
      <c r="F59" s="8">
        <v>99297.57</v>
      </c>
      <c r="G59" s="8">
        <v>103237.37</v>
      </c>
      <c r="H59" s="8">
        <v>112462.00625000001</v>
      </c>
      <c r="I59" s="13">
        <v>109105.28</v>
      </c>
      <c r="J59" s="13">
        <v>112462.00625000001</v>
      </c>
      <c r="K59" s="13">
        <v>100883.45</v>
      </c>
      <c r="L59" s="13">
        <v>103379.43</v>
      </c>
      <c r="M59" s="13">
        <v>98865.53</v>
      </c>
      <c r="N59" s="13">
        <v>99408.51</v>
      </c>
      <c r="O59" s="13">
        <v>83155.136249999996</v>
      </c>
      <c r="P59" s="8">
        <f t="shared" si="4"/>
        <v>100443.28232142856</v>
      </c>
      <c r="Q59" s="8">
        <f t="shared" si="5"/>
        <v>101037.04892857143</v>
      </c>
      <c r="R59" s="8">
        <f t="shared" si="6"/>
        <v>1.005911461607186</v>
      </c>
      <c r="S59" s="12">
        <f t="shared" si="7"/>
        <v>0.89158514581080561</v>
      </c>
    </row>
    <row r="60" spans="1:19" x14ac:dyDescent="0.5">
      <c r="A60" s="8" t="s">
        <v>121</v>
      </c>
      <c r="B60" s="8">
        <v>49590.3</v>
      </c>
      <c r="C60" s="8">
        <v>50347.76</v>
      </c>
      <c r="D60" s="8">
        <v>66880.69</v>
      </c>
      <c r="E60" s="8">
        <v>63824.84</v>
      </c>
      <c r="F60" s="8">
        <v>58826.06</v>
      </c>
      <c r="G60" s="8">
        <v>69260.19</v>
      </c>
      <c r="H60" s="8">
        <v>69831.58</v>
      </c>
      <c r="I60" s="13">
        <v>58444.83</v>
      </c>
      <c r="J60" s="13">
        <v>55666</v>
      </c>
      <c r="K60" s="13">
        <v>80325.179999999993</v>
      </c>
      <c r="L60" s="13">
        <v>64703.28</v>
      </c>
      <c r="M60" s="13">
        <v>48454.71</v>
      </c>
      <c r="N60" s="13">
        <v>65391.18</v>
      </c>
      <c r="O60" s="13">
        <v>56132.14</v>
      </c>
      <c r="P60" s="8">
        <f t="shared" si="4"/>
        <v>61223.060000000005</v>
      </c>
      <c r="Q60" s="8">
        <f t="shared" si="5"/>
        <v>61302.474285714285</v>
      </c>
      <c r="R60" s="8">
        <f t="shared" si="6"/>
        <v>1.0012971302923159</v>
      </c>
      <c r="S60" s="12">
        <f t="shared" si="7"/>
        <v>0.98763995301652185</v>
      </c>
    </row>
    <row r="61" spans="1:19" x14ac:dyDescent="0.5">
      <c r="A61" s="8" t="s">
        <v>84</v>
      </c>
      <c r="B61" s="8">
        <v>1405.09</v>
      </c>
      <c r="C61" s="8">
        <v>1548.8</v>
      </c>
      <c r="D61" s="8">
        <v>1797.14</v>
      </c>
      <c r="E61" s="8">
        <v>962.31</v>
      </c>
      <c r="F61" s="8">
        <v>1512.37</v>
      </c>
      <c r="G61" s="8">
        <v>643.38</v>
      </c>
      <c r="H61" s="8">
        <v>1777.06</v>
      </c>
      <c r="I61" s="13">
        <v>1694.69</v>
      </c>
      <c r="J61" s="13">
        <v>1071.8599999999999</v>
      </c>
      <c r="K61" s="13">
        <v>2161.59</v>
      </c>
      <c r="L61" s="13">
        <v>985.34</v>
      </c>
      <c r="M61" s="13">
        <v>1046.27</v>
      </c>
      <c r="N61" s="13">
        <v>1966.33</v>
      </c>
      <c r="O61" s="13">
        <v>723.33</v>
      </c>
      <c r="P61" s="8">
        <f t="shared" si="4"/>
        <v>1378.0214285714285</v>
      </c>
      <c r="Q61" s="8">
        <f t="shared" si="5"/>
        <v>1378.4871428571428</v>
      </c>
      <c r="R61" s="8">
        <f t="shared" si="6"/>
        <v>1.0003379586674477</v>
      </c>
      <c r="S61" s="12">
        <f t="shared" si="7"/>
        <v>0.99862500593597059</v>
      </c>
    </row>
    <row r="62" spans="1:19" x14ac:dyDescent="0.5">
      <c r="A62" s="8" t="s">
        <v>79</v>
      </c>
      <c r="B62" s="8">
        <v>8.9499999999999993</v>
      </c>
      <c r="C62" s="8">
        <v>0.65</v>
      </c>
      <c r="D62" s="8">
        <v>12.12</v>
      </c>
      <c r="E62" s="8">
        <v>41.91</v>
      </c>
      <c r="F62" s="8">
        <v>16.47</v>
      </c>
      <c r="G62" s="8">
        <v>22.73</v>
      </c>
      <c r="H62" s="8">
        <v>102.92</v>
      </c>
      <c r="I62" s="13">
        <v>102.92</v>
      </c>
      <c r="J62" s="13">
        <v>42.52</v>
      </c>
      <c r="K62" s="13">
        <v>14.46</v>
      </c>
      <c r="L62" s="13">
        <v>6.98</v>
      </c>
      <c r="M62" s="13">
        <v>16.37</v>
      </c>
      <c r="N62" s="13">
        <v>13.68</v>
      </c>
      <c r="O62" s="13">
        <v>6.5</v>
      </c>
      <c r="P62" s="8">
        <f t="shared" si="4"/>
        <v>29.392857142857142</v>
      </c>
      <c r="Q62" s="8">
        <f t="shared" si="5"/>
        <v>29.061428571428571</v>
      </c>
      <c r="R62" s="8">
        <f t="shared" si="6"/>
        <v>0.98872417982989069</v>
      </c>
      <c r="S62" s="12">
        <f t="shared" si="7"/>
        <v>0.98609069422009932</v>
      </c>
    </row>
    <row r="63" spans="1:19" x14ac:dyDescent="0.5">
      <c r="A63" s="8" t="s">
        <v>62</v>
      </c>
      <c r="B63" s="8">
        <v>207.47</v>
      </c>
      <c r="C63" s="8">
        <v>164.35</v>
      </c>
      <c r="D63" s="8">
        <v>271.29000000000002</v>
      </c>
      <c r="E63" s="8">
        <v>392.87</v>
      </c>
      <c r="F63" s="8">
        <v>273.25</v>
      </c>
      <c r="G63" s="8">
        <v>263.02999999999997</v>
      </c>
      <c r="H63" s="8">
        <v>116.4</v>
      </c>
      <c r="I63" s="13">
        <v>526.90374999999995</v>
      </c>
      <c r="J63" s="13">
        <v>410.86</v>
      </c>
      <c r="K63" s="13">
        <v>102.61</v>
      </c>
      <c r="L63" s="13">
        <v>161.87</v>
      </c>
      <c r="M63" s="13">
        <v>215.61</v>
      </c>
      <c r="N63" s="13">
        <v>151.57</v>
      </c>
      <c r="O63" s="13">
        <v>98.96</v>
      </c>
      <c r="P63" s="8">
        <f t="shared" si="4"/>
        <v>241.23714285714286</v>
      </c>
      <c r="Q63" s="8">
        <f t="shared" si="5"/>
        <v>238.34053571428575</v>
      </c>
      <c r="R63" s="8">
        <f t="shared" si="6"/>
        <v>0.98799269835254</v>
      </c>
      <c r="S63" s="12">
        <f t="shared" si="7"/>
        <v>0.96820970569838449</v>
      </c>
    </row>
    <row r="64" spans="1:19" x14ac:dyDescent="0.5">
      <c r="A64" s="8" t="s">
        <v>95</v>
      </c>
      <c r="B64" s="8">
        <v>48772.47</v>
      </c>
      <c r="C64" s="8">
        <v>46944.17</v>
      </c>
      <c r="D64" s="8">
        <v>55278.97</v>
      </c>
      <c r="E64" s="8">
        <v>52715.95</v>
      </c>
      <c r="F64" s="8">
        <v>56070.25</v>
      </c>
      <c r="G64" s="8">
        <v>52950.07</v>
      </c>
      <c r="H64" s="8">
        <v>46383.02</v>
      </c>
      <c r="I64" s="13">
        <v>58121.2</v>
      </c>
      <c r="J64" s="13">
        <v>55514.9</v>
      </c>
      <c r="K64" s="13">
        <v>56241.61</v>
      </c>
      <c r="L64" s="13">
        <v>53540.06</v>
      </c>
      <c r="M64" s="13">
        <v>48972.61</v>
      </c>
      <c r="N64" s="13">
        <v>52254.3</v>
      </c>
      <c r="O64" s="13">
        <v>29933.69</v>
      </c>
      <c r="P64" s="8">
        <f t="shared" si="4"/>
        <v>51302.128571428577</v>
      </c>
      <c r="Q64" s="8">
        <f t="shared" si="5"/>
        <v>50654.052857142859</v>
      </c>
      <c r="R64" s="8">
        <f t="shared" si="6"/>
        <v>0.98736746929743091</v>
      </c>
      <c r="S64" s="12">
        <f t="shared" si="7"/>
        <v>0.87155084829112117</v>
      </c>
    </row>
    <row r="65" spans="1:19" x14ac:dyDescent="0.5">
      <c r="A65" s="8" t="s">
        <v>71</v>
      </c>
      <c r="B65" s="8">
        <v>159.58000000000001</v>
      </c>
      <c r="C65" s="8">
        <v>152.69999999999999</v>
      </c>
      <c r="D65" s="8">
        <v>133.97999999999999</v>
      </c>
      <c r="E65" s="8">
        <v>173.02</v>
      </c>
      <c r="F65" s="8">
        <v>139.57</v>
      </c>
      <c r="G65" s="8">
        <v>130.28</v>
      </c>
      <c r="H65" s="8">
        <v>144.69999999999999</v>
      </c>
      <c r="I65" s="13">
        <v>248.46</v>
      </c>
      <c r="J65" s="13">
        <v>189.72</v>
      </c>
      <c r="K65" s="13">
        <v>124.22</v>
      </c>
      <c r="L65" s="13">
        <v>150.58000000000001</v>
      </c>
      <c r="M65" s="13">
        <v>112.34</v>
      </c>
      <c r="N65" s="13">
        <v>139.44999999999999</v>
      </c>
      <c r="O65" s="13">
        <v>54.58</v>
      </c>
      <c r="P65" s="8">
        <f t="shared" si="4"/>
        <v>147.69</v>
      </c>
      <c r="Q65" s="8">
        <f t="shared" si="5"/>
        <v>145.62142857142857</v>
      </c>
      <c r="R65" s="8">
        <f t="shared" si="6"/>
        <v>0.98599382877262221</v>
      </c>
      <c r="S65" s="12">
        <f t="shared" si="7"/>
        <v>0.93220242119253771</v>
      </c>
    </row>
    <row r="66" spans="1:19" x14ac:dyDescent="0.5">
      <c r="A66" s="8" t="s">
        <v>110</v>
      </c>
      <c r="B66" s="8">
        <v>4181.33</v>
      </c>
      <c r="C66" s="8">
        <v>4382.29</v>
      </c>
      <c r="D66" s="8">
        <v>5148.08</v>
      </c>
      <c r="E66" s="8">
        <v>4242.57</v>
      </c>
      <c r="F66" s="8">
        <v>3915.17</v>
      </c>
      <c r="G66" s="8">
        <v>3613.48</v>
      </c>
      <c r="H66" s="8">
        <v>3737.78</v>
      </c>
      <c r="I66" s="13">
        <v>4775.3100000000004</v>
      </c>
      <c r="J66" s="13">
        <v>4485.67</v>
      </c>
      <c r="K66" s="13">
        <v>5172.93</v>
      </c>
      <c r="L66" s="13">
        <v>4363.0200000000004</v>
      </c>
      <c r="M66" s="13">
        <v>3281.49</v>
      </c>
      <c r="N66" s="13">
        <v>3811.56</v>
      </c>
      <c r="O66" s="13">
        <v>2849.33</v>
      </c>
      <c r="P66" s="8">
        <f t="shared" ref="P66:P97" si="8">AVERAGE(B66:H66)</f>
        <v>4174.3857142857132</v>
      </c>
      <c r="Q66" s="8">
        <f t="shared" ref="Q66:Q97" si="9">AVERAGE(I66:O66)</f>
        <v>4105.6157142857137</v>
      </c>
      <c r="R66" s="8">
        <f t="shared" ref="R66:R97" si="10">Q66/P66</f>
        <v>0.98352571978084036</v>
      </c>
      <c r="S66" s="12">
        <f t="shared" ref="S66:S97" si="11">_xlfn.T.TEST(B66:H66,I66:O66,2,2)</f>
        <v>0.85516823282417764</v>
      </c>
    </row>
    <row r="67" spans="1:19" x14ac:dyDescent="0.5">
      <c r="A67" s="8" t="s">
        <v>125</v>
      </c>
      <c r="B67" s="8">
        <v>72.52</v>
      </c>
      <c r="C67" s="8">
        <v>112.62</v>
      </c>
      <c r="D67" s="8">
        <v>147.08000000000001</v>
      </c>
      <c r="E67" s="8">
        <v>227.66</v>
      </c>
      <c r="F67" s="8">
        <v>169.57</v>
      </c>
      <c r="G67" s="8">
        <v>204.94</v>
      </c>
      <c r="H67" s="8">
        <v>347.71375</v>
      </c>
      <c r="I67" s="13">
        <v>148.1</v>
      </c>
      <c r="J67" s="13">
        <v>206.85</v>
      </c>
      <c r="K67" s="13">
        <v>189.09</v>
      </c>
      <c r="L67" s="13">
        <v>242.11</v>
      </c>
      <c r="M67" s="13">
        <v>198.4</v>
      </c>
      <c r="N67" s="13">
        <v>85.58</v>
      </c>
      <c r="O67" s="13">
        <v>187.21</v>
      </c>
      <c r="P67" s="8">
        <f t="shared" si="8"/>
        <v>183.15767857142859</v>
      </c>
      <c r="Q67" s="8">
        <f t="shared" si="9"/>
        <v>179.61999999999998</v>
      </c>
      <c r="R67" s="8">
        <f t="shared" si="10"/>
        <v>0.98068506546369572</v>
      </c>
      <c r="S67" s="12">
        <f t="shared" si="11"/>
        <v>0.92885107082949148</v>
      </c>
    </row>
    <row r="68" spans="1:19" x14ac:dyDescent="0.5">
      <c r="A68" s="8" t="s">
        <v>124</v>
      </c>
      <c r="B68" s="8">
        <v>20958.759999999998</v>
      </c>
      <c r="C68" s="8">
        <v>18866.22</v>
      </c>
      <c r="D68" s="8">
        <v>21676.16</v>
      </c>
      <c r="E68" s="8">
        <v>25022.19</v>
      </c>
      <c r="F68" s="8">
        <v>21693.16</v>
      </c>
      <c r="G68" s="8">
        <v>25153.18</v>
      </c>
      <c r="H68" s="8">
        <v>20692.759999999998</v>
      </c>
      <c r="I68" s="13">
        <v>21922.21</v>
      </c>
      <c r="J68" s="13">
        <v>25400.095000000001</v>
      </c>
      <c r="K68" s="13">
        <v>20295.650000000001</v>
      </c>
      <c r="L68" s="13">
        <v>23090.83</v>
      </c>
      <c r="M68" s="13">
        <v>19774.78</v>
      </c>
      <c r="N68" s="13">
        <v>19441.43</v>
      </c>
      <c r="O68" s="13">
        <v>19603.03</v>
      </c>
      <c r="P68" s="8">
        <f t="shared" si="8"/>
        <v>22008.918571428574</v>
      </c>
      <c r="Q68" s="8">
        <f t="shared" si="9"/>
        <v>21361.146428571428</v>
      </c>
      <c r="R68" s="8">
        <f t="shared" si="10"/>
        <v>0.97056774321942074</v>
      </c>
      <c r="S68" s="12">
        <f t="shared" si="11"/>
        <v>0.6034780446864163</v>
      </c>
    </row>
    <row r="69" spans="1:19" x14ac:dyDescent="0.5">
      <c r="A69" s="8" t="s">
        <v>133</v>
      </c>
      <c r="B69" s="8">
        <v>2937.38</v>
      </c>
      <c r="C69" s="8">
        <v>2941.68</v>
      </c>
      <c r="D69" s="8">
        <v>3092.91</v>
      </c>
      <c r="E69" s="8">
        <v>3219.89</v>
      </c>
      <c r="F69" s="8">
        <v>3311.79</v>
      </c>
      <c r="G69" s="8">
        <v>2907.98</v>
      </c>
      <c r="H69" s="8">
        <v>2588.71</v>
      </c>
      <c r="I69" s="13">
        <v>3137.72</v>
      </c>
      <c r="J69" s="13">
        <v>3207.92</v>
      </c>
      <c r="K69" s="13">
        <v>2931.61</v>
      </c>
      <c r="L69" s="13">
        <v>3005.51</v>
      </c>
      <c r="M69" s="13">
        <v>2691.62</v>
      </c>
      <c r="N69" s="13">
        <v>2902.95</v>
      </c>
      <c r="O69" s="13">
        <v>2438.79</v>
      </c>
      <c r="P69" s="8">
        <f t="shared" si="8"/>
        <v>3000.048571428571</v>
      </c>
      <c r="Q69" s="8">
        <f t="shared" si="9"/>
        <v>2902.3028571428576</v>
      </c>
      <c r="R69" s="8">
        <f t="shared" si="10"/>
        <v>0.96741862274610824</v>
      </c>
      <c r="S69" s="12">
        <f t="shared" si="11"/>
        <v>0.48102090733546632</v>
      </c>
    </row>
    <row r="70" spans="1:19" x14ac:dyDescent="0.5">
      <c r="A70" s="8" t="s">
        <v>53</v>
      </c>
      <c r="B70" s="8">
        <v>1458.69</v>
      </c>
      <c r="C70" s="8">
        <v>1209.25</v>
      </c>
      <c r="D70" s="8">
        <v>1450.31</v>
      </c>
      <c r="E70" s="8">
        <v>2483.2800000000002</v>
      </c>
      <c r="F70" s="8">
        <v>1296.21</v>
      </c>
      <c r="G70" s="8">
        <v>1463.69</v>
      </c>
      <c r="H70" s="8">
        <v>1549.75</v>
      </c>
      <c r="I70" s="13">
        <v>1664.19</v>
      </c>
      <c r="J70" s="13">
        <v>2583.7562499999999</v>
      </c>
      <c r="K70" s="13">
        <v>1138.53</v>
      </c>
      <c r="L70" s="13">
        <v>1123.3800000000001</v>
      </c>
      <c r="M70" s="13">
        <v>1449.92</v>
      </c>
      <c r="N70" s="13">
        <v>1758.59</v>
      </c>
      <c r="O70" s="13">
        <v>833.94</v>
      </c>
      <c r="P70" s="8">
        <f t="shared" si="8"/>
        <v>1558.74</v>
      </c>
      <c r="Q70" s="8">
        <f t="shared" si="9"/>
        <v>1507.4723214285714</v>
      </c>
      <c r="R70" s="8">
        <f t="shared" si="10"/>
        <v>0.96710953810678579</v>
      </c>
      <c r="S70" s="12">
        <f t="shared" si="11"/>
        <v>0.85261341996405604</v>
      </c>
    </row>
    <row r="71" spans="1:19" x14ac:dyDescent="0.5">
      <c r="A71" s="8" t="s">
        <v>101</v>
      </c>
      <c r="B71" s="8">
        <v>685.61</v>
      </c>
      <c r="C71" s="8">
        <v>1279.0899999999999</v>
      </c>
      <c r="D71" s="8">
        <v>1851.44</v>
      </c>
      <c r="E71" s="8">
        <v>1719.87</v>
      </c>
      <c r="F71" s="8">
        <v>3032.7</v>
      </c>
      <c r="G71" s="8">
        <v>1637.68</v>
      </c>
      <c r="H71" s="8">
        <v>3234.25</v>
      </c>
      <c r="I71" s="13">
        <v>2516.71</v>
      </c>
      <c r="J71" s="13">
        <v>1772.54</v>
      </c>
      <c r="K71" s="13">
        <v>846.92</v>
      </c>
      <c r="L71" s="13">
        <v>2404.54</v>
      </c>
      <c r="M71" s="13">
        <v>1517.12</v>
      </c>
      <c r="N71" s="13">
        <v>1699.11</v>
      </c>
      <c r="O71" s="13">
        <v>2220.7800000000002</v>
      </c>
      <c r="P71" s="8">
        <f t="shared" si="8"/>
        <v>1920.0914285714284</v>
      </c>
      <c r="Q71" s="8">
        <f t="shared" si="9"/>
        <v>1853.9600000000003</v>
      </c>
      <c r="R71" s="8">
        <f t="shared" si="10"/>
        <v>0.96555818770534763</v>
      </c>
      <c r="S71" s="12">
        <f t="shared" si="11"/>
        <v>0.87453709600973806</v>
      </c>
    </row>
    <row r="72" spans="1:19" x14ac:dyDescent="0.5">
      <c r="A72" s="8" t="s">
        <v>73</v>
      </c>
      <c r="B72" s="8">
        <v>154.61000000000001</v>
      </c>
      <c r="C72" s="8">
        <v>187.19</v>
      </c>
      <c r="D72" s="8">
        <v>137.01</v>
      </c>
      <c r="E72" s="8">
        <v>332.31625000000003</v>
      </c>
      <c r="F72" s="8">
        <v>217.18</v>
      </c>
      <c r="G72" s="8">
        <v>74.25</v>
      </c>
      <c r="H72" s="8">
        <v>167.17</v>
      </c>
      <c r="I72" s="13">
        <v>225.55</v>
      </c>
      <c r="J72" s="13">
        <v>174.11</v>
      </c>
      <c r="K72" s="13">
        <v>201.52</v>
      </c>
      <c r="L72" s="13">
        <v>155.4</v>
      </c>
      <c r="M72" s="13">
        <v>194.83</v>
      </c>
      <c r="N72" s="13">
        <v>166.84</v>
      </c>
      <c r="O72" s="13">
        <v>107.28</v>
      </c>
      <c r="P72" s="8">
        <f t="shared" si="8"/>
        <v>181.3894642857143</v>
      </c>
      <c r="Q72" s="8">
        <f t="shared" si="9"/>
        <v>175.07571428571427</v>
      </c>
      <c r="R72" s="8">
        <f t="shared" si="10"/>
        <v>0.9651923003088263</v>
      </c>
      <c r="S72" s="12">
        <f t="shared" si="11"/>
        <v>0.85368247310772039</v>
      </c>
    </row>
    <row r="73" spans="1:19" x14ac:dyDescent="0.5">
      <c r="A73" s="8" t="s">
        <v>66</v>
      </c>
      <c r="B73" s="8">
        <v>54613.71</v>
      </c>
      <c r="C73" s="8">
        <v>69356.13</v>
      </c>
      <c r="D73" s="8">
        <v>54656.52</v>
      </c>
      <c r="E73" s="8">
        <v>66941.16</v>
      </c>
      <c r="F73" s="8">
        <v>67535.55</v>
      </c>
      <c r="G73" s="8">
        <v>75636.460000000006</v>
      </c>
      <c r="H73" s="8">
        <v>67519.5</v>
      </c>
      <c r="I73" s="13">
        <v>67162.539999999994</v>
      </c>
      <c r="J73" s="13">
        <v>57530.51</v>
      </c>
      <c r="K73" s="13">
        <v>69981.41</v>
      </c>
      <c r="L73" s="13">
        <v>68078.429999999993</v>
      </c>
      <c r="M73" s="13">
        <v>63382.75</v>
      </c>
      <c r="N73" s="13">
        <v>58314.36</v>
      </c>
      <c r="O73" s="13">
        <v>55264.04</v>
      </c>
      <c r="P73" s="8">
        <f t="shared" si="8"/>
        <v>65179.861428571436</v>
      </c>
      <c r="Q73" s="8">
        <f t="shared" si="9"/>
        <v>62816.291428571429</v>
      </c>
      <c r="R73" s="8">
        <f t="shared" si="10"/>
        <v>0.96373772591415874</v>
      </c>
      <c r="S73" s="12">
        <f t="shared" si="11"/>
        <v>0.53206145325098941</v>
      </c>
    </row>
    <row r="74" spans="1:19" x14ac:dyDescent="0.5">
      <c r="A74" s="8" t="s">
        <v>85</v>
      </c>
      <c r="B74" s="8">
        <v>10017.83</v>
      </c>
      <c r="C74" s="8">
        <v>8844.2900000000009</v>
      </c>
      <c r="D74" s="8">
        <v>9522.16</v>
      </c>
      <c r="E74" s="8">
        <v>10043.86</v>
      </c>
      <c r="F74" s="8">
        <v>9597.52</v>
      </c>
      <c r="G74" s="8">
        <v>10523.41</v>
      </c>
      <c r="H74" s="8">
        <v>11766.54</v>
      </c>
      <c r="I74" s="13">
        <v>10583.53</v>
      </c>
      <c r="J74" s="13">
        <v>10727.25</v>
      </c>
      <c r="K74" s="13">
        <v>9535.7800000000007</v>
      </c>
      <c r="L74" s="13">
        <v>9958.17</v>
      </c>
      <c r="M74" s="13">
        <v>9022.3799999999992</v>
      </c>
      <c r="N74" s="13">
        <v>9813.7000000000007</v>
      </c>
      <c r="O74" s="13">
        <v>7305.44</v>
      </c>
      <c r="P74" s="8">
        <f t="shared" si="8"/>
        <v>10045.087142857144</v>
      </c>
      <c r="Q74" s="8">
        <f t="shared" si="9"/>
        <v>9563.75</v>
      </c>
      <c r="R74" s="8">
        <f t="shared" si="10"/>
        <v>0.95208233278499599</v>
      </c>
      <c r="S74" s="12">
        <f t="shared" si="11"/>
        <v>0.40590293358833973</v>
      </c>
    </row>
    <row r="75" spans="1:19" x14ac:dyDescent="0.5">
      <c r="A75" s="8" t="s">
        <v>136</v>
      </c>
      <c r="B75" s="8">
        <v>3044.61</v>
      </c>
      <c r="C75" s="8">
        <v>3272.96</v>
      </c>
      <c r="D75" s="8">
        <v>3328.3</v>
      </c>
      <c r="E75" s="8">
        <v>3255.24</v>
      </c>
      <c r="F75" s="8">
        <v>3563.24</v>
      </c>
      <c r="G75" s="8">
        <v>3343.23</v>
      </c>
      <c r="H75" s="8">
        <v>3213.19</v>
      </c>
      <c r="I75" s="13">
        <v>3526.85</v>
      </c>
      <c r="J75" s="13">
        <v>3283</v>
      </c>
      <c r="K75" s="13">
        <v>3203.43</v>
      </c>
      <c r="L75" s="13">
        <v>3077.2</v>
      </c>
      <c r="M75" s="13">
        <v>2970.7</v>
      </c>
      <c r="N75" s="13">
        <v>3098.12</v>
      </c>
      <c r="O75" s="13">
        <v>2518.8074999999999</v>
      </c>
      <c r="P75" s="8">
        <f t="shared" si="8"/>
        <v>3288.6814285714281</v>
      </c>
      <c r="Q75" s="8">
        <f t="shared" si="9"/>
        <v>3096.8724999999999</v>
      </c>
      <c r="R75" s="8">
        <f t="shared" si="10"/>
        <v>0.94167603863815164</v>
      </c>
      <c r="S75" s="12">
        <f t="shared" si="11"/>
        <v>0.17078582651219584</v>
      </c>
    </row>
    <row r="76" spans="1:19" x14ac:dyDescent="0.5">
      <c r="A76" s="8" t="s">
        <v>123</v>
      </c>
      <c r="B76" s="8">
        <v>1119.67</v>
      </c>
      <c r="C76" s="8">
        <v>890.81</v>
      </c>
      <c r="D76" s="8">
        <v>507.57</v>
      </c>
      <c r="E76" s="8">
        <v>1109.6400000000001</v>
      </c>
      <c r="F76" s="8">
        <v>724.54</v>
      </c>
      <c r="G76" s="8">
        <v>1477.34</v>
      </c>
      <c r="H76" s="8">
        <v>1853.35</v>
      </c>
      <c r="I76" s="13">
        <v>840.24</v>
      </c>
      <c r="J76" s="13">
        <v>1184.98</v>
      </c>
      <c r="K76" s="13">
        <v>724.29</v>
      </c>
      <c r="L76" s="13">
        <v>1116.3699999999999</v>
      </c>
      <c r="M76" s="13">
        <v>1782.6</v>
      </c>
      <c r="N76" s="13">
        <v>411.88</v>
      </c>
      <c r="O76" s="13">
        <v>1123.8599999999999</v>
      </c>
      <c r="P76" s="8">
        <f t="shared" si="8"/>
        <v>1097.56</v>
      </c>
      <c r="Q76" s="8">
        <f t="shared" si="9"/>
        <v>1026.3171428571427</v>
      </c>
      <c r="R76" s="8">
        <f t="shared" si="10"/>
        <v>0.935089783571871</v>
      </c>
      <c r="S76" s="12">
        <f t="shared" si="11"/>
        <v>0.76910353319986635</v>
      </c>
    </row>
    <row r="77" spans="1:19" x14ac:dyDescent="0.5">
      <c r="A77" s="8" t="s">
        <v>119</v>
      </c>
      <c r="B77" s="8">
        <v>290.12</v>
      </c>
      <c r="C77" s="8">
        <v>1207.1099999999999</v>
      </c>
      <c r="D77" s="8">
        <v>493.59</v>
      </c>
      <c r="E77" s="8">
        <v>649.57000000000005</v>
      </c>
      <c r="F77" s="8">
        <v>452.54</v>
      </c>
      <c r="G77" s="8">
        <v>837.57</v>
      </c>
      <c r="H77" s="8">
        <v>981.74</v>
      </c>
      <c r="I77" s="13">
        <v>838.66</v>
      </c>
      <c r="J77" s="13">
        <v>685.85</v>
      </c>
      <c r="K77" s="13">
        <v>485.43</v>
      </c>
      <c r="L77" s="13">
        <v>738.47</v>
      </c>
      <c r="M77" s="13">
        <v>483.14</v>
      </c>
      <c r="N77" s="13">
        <v>549.33000000000004</v>
      </c>
      <c r="O77" s="13">
        <v>810.73</v>
      </c>
      <c r="P77" s="8">
        <f t="shared" si="8"/>
        <v>701.74857142857138</v>
      </c>
      <c r="Q77" s="8">
        <f t="shared" si="9"/>
        <v>655.94428571428568</v>
      </c>
      <c r="R77" s="8">
        <f t="shared" si="10"/>
        <v>0.93472835203491689</v>
      </c>
      <c r="S77" s="12">
        <f t="shared" si="11"/>
        <v>0.74021051074458777</v>
      </c>
    </row>
    <row r="78" spans="1:19" x14ac:dyDescent="0.5">
      <c r="A78" s="8" t="s">
        <v>52</v>
      </c>
      <c r="B78" s="8">
        <v>789.16</v>
      </c>
      <c r="C78" s="8">
        <v>2035.97</v>
      </c>
      <c r="D78" s="8">
        <v>1214.8800000000001</v>
      </c>
      <c r="E78" s="8">
        <v>2124.9699999999998</v>
      </c>
      <c r="F78" s="8">
        <v>1278.47</v>
      </c>
      <c r="G78" s="8">
        <v>552.86</v>
      </c>
      <c r="H78" s="8">
        <v>100.47</v>
      </c>
      <c r="I78" s="13">
        <v>581.78</v>
      </c>
      <c r="J78" s="13">
        <v>574.88</v>
      </c>
      <c r="K78" s="13">
        <v>711.3</v>
      </c>
      <c r="L78" s="13">
        <v>793.64</v>
      </c>
      <c r="M78" s="13">
        <v>2259.64</v>
      </c>
      <c r="N78" s="13">
        <v>2442.1925000000001</v>
      </c>
      <c r="O78" s="13">
        <v>196.18</v>
      </c>
      <c r="P78" s="8">
        <f t="shared" si="8"/>
        <v>1156.6828571428571</v>
      </c>
      <c r="Q78" s="8">
        <f t="shared" si="9"/>
        <v>1079.944642857143</v>
      </c>
      <c r="R78" s="8">
        <f t="shared" si="10"/>
        <v>0.93365665116256114</v>
      </c>
      <c r="S78" s="12">
        <f t="shared" si="11"/>
        <v>0.86414538580310829</v>
      </c>
    </row>
    <row r="79" spans="1:19" x14ac:dyDescent="0.5">
      <c r="A79" s="8" t="s">
        <v>82</v>
      </c>
      <c r="B79" s="8">
        <v>995.92</v>
      </c>
      <c r="C79" s="8">
        <v>534.16999999999996</v>
      </c>
      <c r="D79" s="8">
        <v>333.97</v>
      </c>
      <c r="E79" s="8">
        <v>792.33</v>
      </c>
      <c r="F79" s="8">
        <v>498.47</v>
      </c>
      <c r="G79" s="8">
        <v>802.98</v>
      </c>
      <c r="H79" s="8">
        <v>1396.38</v>
      </c>
      <c r="I79" s="13">
        <v>1252.58</v>
      </c>
      <c r="J79" s="13">
        <v>1396.38</v>
      </c>
      <c r="K79" s="13">
        <v>383.86</v>
      </c>
      <c r="L79" s="13">
        <v>640.91</v>
      </c>
      <c r="M79" s="13">
        <v>426.62</v>
      </c>
      <c r="N79" s="13">
        <v>380.01</v>
      </c>
      <c r="O79" s="13">
        <v>517.77</v>
      </c>
      <c r="P79" s="8">
        <f t="shared" si="8"/>
        <v>764.88857142857137</v>
      </c>
      <c r="Q79" s="8">
        <f t="shared" si="9"/>
        <v>714.01857142857159</v>
      </c>
      <c r="R79" s="8">
        <f t="shared" si="10"/>
        <v>0.93349358076433198</v>
      </c>
      <c r="S79" s="12">
        <f t="shared" si="11"/>
        <v>0.81341210798766439</v>
      </c>
    </row>
    <row r="80" spans="1:19" x14ac:dyDescent="0.5">
      <c r="A80" s="8" t="s">
        <v>92</v>
      </c>
      <c r="B80" s="8">
        <v>94.03</v>
      </c>
      <c r="C80" s="8">
        <v>501.74</v>
      </c>
      <c r="D80" s="8">
        <v>206.78</v>
      </c>
      <c r="E80" s="8">
        <v>359.66</v>
      </c>
      <c r="F80" s="8">
        <v>211.83</v>
      </c>
      <c r="G80" s="8">
        <v>315.51</v>
      </c>
      <c r="H80" s="8">
        <v>332.81</v>
      </c>
      <c r="I80" s="13">
        <v>378.84</v>
      </c>
      <c r="J80" s="13">
        <v>386.72</v>
      </c>
      <c r="K80" s="13">
        <v>138.59</v>
      </c>
      <c r="L80" s="13">
        <v>402.36</v>
      </c>
      <c r="M80" s="13">
        <v>334.67</v>
      </c>
      <c r="N80" s="13">
        <v>90.32</v>
      </c>
      <c r="O80" s="13">
        <v>153.28</v>
      </c>
      <c r="P80" s="8">
        <f t="shared" si="8"/>
        <v>288.90857142857141</v>
      </c>
      <c r="Q80" s="8">
        <f t="shared" si="9"/>
        <v>269.25428571428569</v>
      </c>
      <c r="R80" s="8">
        <f t="shared" si="10"/>
        <v>0.93197056903815345</v>
      </c>
      <c r="S80" s="12">
        <f t="shared" si="11"/>
        <v>0.7877099928841208</v>
      </c>
    </row>
    <row r="81" spans="1:19" x14ac:dyDescent="0.5">
      <c r="A81" s="8" t="s">
        <v>131</v>
      </c>
      <c r="B81" s="8">
        <v>9247.56</v>
      </c>
      <c r="C81" s="8">
        <v>8762.9500000000007</v>
      </c>
      <c r="D81" s="8">
        <v>7873.96</v>
      </c>
      <c r="E81" s="8">
        <v>9655.7099999999991</v>
      </c>
      <c r="F81" s="8">
        <v>9670.64</v>
      </c>
      <c r="G81" s="8">
        <v>9576.83</v>
      </c>
      <c r="H81" s="8">
        <v>9695.82</v>
      </c>
      <c r="I81" s="13">
        <v>9175.06</v>
      </c>
      <c r="J81" s="13">
        <v>9430.34</v>
      </c>
      <c r="K81" s="13">
        <v>8668.65</v>
      </c>
      <c r="L81" s="13">
        <v>8441.93</v>
      </c>
      <c r="M81" s="13">
        <v>8790.66</v>
      </c>
      <c r="N81" s="13">
        <v>8500.89</v>
      </c>
      <c r="O81" s="13">
        <v>6831.0275000000001</v>
      </c>
      <c r="P81" s="8">
        <f t="shared" si="8"/>
        <v>9211.9242857142854</v>
      </c>
      <c r="Q81" s="8">
        <f t="shared" si="9"/>
        <v>8548.3653571428567</v>
      </c>
      <c r="R81" s="8">
        <f t="shared" si="10"/>
        <v>0.92796739226347469</v>
      </c>
      <c r="S81" s="12">
        <f t="shared" si="11"/>
        <v>0.12939865490761657</v>
      </c>
    </row>
    <row r="82" spans="1:19" x14ac:dyDescent="0.5">
      <c r="A82" s="8" t="s">
        <v>99</v>
      </c>
      <c r="B82" s="8">
        <v>208.4</v>
      </c>
      <c r="C82" s="8">
        <v>240.27</v>
      </c>
      <c r="D82" s="8">
        <v>348.46</v>
      </c>
      <c r="E82" s="8">
        <v>343.37</v>
      </c>
      <c r="F82" s="8">
        <v>184.25</v>
      </c>
      <c r="G82" s="8">
        <v>308.62</v>
      </c>
      <c r="H82" s="8">
        <v>541.11</v>
      </c>
      <c r="I82" s="13">
        <v>292.31</v>
      </c>
      <c r="J82" s="13">
        <v>342.06</v>
      </c>
      <c r="K82" s="13">
        <v>494.51</v>
      </c>
      <c r="L82" s="13">
        <v>221.67</v>
      </c>
      <c r="M82" s="13">
        <v>258</v>
      </c>
      <c r="N82" s="13">
        <v>181.26</v>
      </c>
      <c r="O82" s="13">
        <v>215.45</v>
      </c>
      <c r="P82" s="8">
        <f t="shared" si="8"/>
        <v>310.64</v>
      </c>
      <c r="Q82" s="8">
        <f t="shared" si="9"/>
        <v>286.46571428571434</v>
      </c>
      <c r="R82" s="8">
        <f t="shared" si="10"/>
        <v>0.92217909569184375</v>
      </c>
      <c r="S82" s="12">
        <f t="shared" si="11"/>
        <v>0.69723157548073345</v>
      </c>
    </row>
    <row r="83" spans="1:19" x14ac:dyDescent="0.5">
      <c r="A83" s="8" t="s">
        <v>94</v>
      </c>
      <c r="B83" s="8">
        <v>120.09</v>
      </c>
      <c r="C83" s="8">
        <v>210.3</v>
      </c>
      <c r="D83" s="8">
        <v>54.66</v>
      </c>
      <c r="E83" s="8">
        <v>68.430000000000007</v>
      </c>
      <c r="F83" s="8">
        <v>156.19999999999999</v>
      </c>
      <c r="G83" s="8">
        <v>64.09</v>
      </c>
      <c r="H83" s="8">
        <v>126.2</v>
      </c>
      <c r="I83" s="13">
        <v>255.6875</v>
      </c>
      <c r="J83" s="13">
        <v>124.42</v>
      </c>
      <c r="K83" s="13">
        <v>21.47</v>
      </c>
      <c r="L83" s="13">
        <v>80.61</v>
      </c>
      <c r="M83" s="13">
        <v>149.75</v>
      </c>
      <c r="N83" s="13">
        <v>56.07</v>
      </c>
      <c r="O83" s="13">
        <v>37.5</v>
      </c>
      <c r="P83" s="8">
        <f t="shared" si="8"/>
        <v>114.28142857142858</v>
      </c>
      <c r="Q83" s="8">
        <f t="shared" si="9"/>
        <v>103.64392857142857</v>
      </c>
      <c r="R83" s="8">
        <f t="shared" si="10"/>
        <v>0.90691838443941641</v>
      </c>
      <c r="S83" s="12">
        <f t="shared" si="11"/>
        <v>0.78125286177556941</v>
      </c>
    </row>
    <row r="84" spans="1:19" x14ac:dyDescent="0.5">
      <c r="A84" s="8" t="s">
        <v>75</v>
      </c>
      <c r="B84" s="8">
        <v>923.35</v>
      </c>
      <c r="C84" s="8">
        <v>1034.79</v>
      </c>
      <c r="D84" s="8">
        <v>408.58</v>
      </c>
      <c r="E84" s="8">
        <v>354.96</v>
      </c>
      <c r="F84" s="8">
        <v>965.34</v>
      </c>
      <c r="G84" s="8">
        <v>516.01</v>
      </c>
      <c r="H84" s="8">
        <v>679.23</v>
      </c>
      <c r="I84" s="13">
        <v>1054.1500000000001</v>
      </c>
      <c r="J84" s="13">
        <v>918.36</v>
      </c>
      <c r="K84" s="13">
        <v>122.89</v>
      </c>
      <c r="L84" s="13">
        <v>794.97</v>
      </c>
      <c r="M84" s="13">
        <v>916.45</v>
      </c>
      <c r="N84" s="13">
        <v>398.42</v>
      </c>
      <c r="O84" s="13">
        <v>189.68</v>
      </c>
      <c r="P84" s="8">
        <f t="shared" si="8"/>
        <v>697.46571428571428</v>
      </c>
      <c r="Q84" s="8">
        <f t="shared" si="9"/>
        <v>627.84571428571428</v>
      </c>
      <c r="R84" s="8">
        <f t="shared" si="10"/>
        <v>0.90018147333407073</v>
      </c>
      <c r="S84" s="12">
        <f t="shared" si="11"/>
        <v>0.70432541856042263</v>
      </c>
    </row>
    <row r="85" spans="1:19" x14ac:dyDescent="0.5">
      <c r="A85" s="8" t="s">
        <v>29</v>
      </c>
      <c r="B85" s="8">
        <v>2.5499999999999998</v>
      </c>
      <c r="C85" s="8">
        <v>3.79</v>
      </c>
      <c r="D85" s="8">
        <v>1.54</v>
      </c>
      <c r="E85" s="8">
        <v>3.65</v>
      </c>
      <c r="F85" s="8">
        <v>5.49</v>
      </c>
      <c r="G85" s="8">
        <v>4.91</v>
      </c>
      <c r="H85" s="8">
        <v>9.7148749999999993</v>
      </c>
      <c r="I85" s="13">
        <v>5.45</v>
      </c>
      <c r="J85" s="13">
        <v>6.98</v>
      </c>
      <c r="K85" s="13">
        <v>3.43</v>
      </c>
      <c r="L85" s="13">
        <v>3.07</v>
      </c>
      <c r="M85" s="13">
        <v>3.96</v>
      </c>
      <c r="N85" s="13">
        <v>2.4900000000000002</v>
      </c>
      <c r="O85" s="13">
        <v>3.04</v>
      </c>
      <c r="P85" s="8">
        <f t="shared" si="8"/>
        <v>4.5206964285714282</v>
      </c>
      <c r="Q85" s="8">
        <f t="shared" si="9"/>
        <v>4.0600000000000005</v>
      </c>
      <c r="R85" s="8">
        <f t="shared" si="10"/>
        <v>0.89809171311310299</v>
      </c>
      <c r="S85" s="12">
        <f t="shared" si="11"/>
        <v>0.70063698273035169</v>
      </c>
    </row>
    <row r="86" spans="1:19" x14ac:dyDescent="0.5">
      <c r="A86" s="8" t="s">
        <v>31</v>
      </c>
      <c r="B86" s="8">
        <v>0.06</v>
      </c>
      <c r="C86" s="8">
        <v>1.05</v>
      </c>
      <c r="D86" s="8">
        <v>0.67</v>
      </c>
      <c r="E86" s="8">
        <v>1.79</v>
      </c>
      <c r="F86" s="8">
        <v>1.93</v>
      </c>
      <c r="G86" s="8">
        <v>1.0900000000000001</v>
      </c>
      <c r="H86" s="8">
        <v>1.66</v>
      </c>
      <c r="I86" s="13">
        <v>1.69</v>
      </c>
      <c r="J86" s="13">
        <v>2.46</v>
      </c>
      <c r="K86" s="13">
        <v>0.98</v>
      </c>
      <c r="L86" s="13">
        <v>0.51</v>
      </c>
      <c r="M86" s="13">
        <v>6.0000000000000001E-3</v>
      </c>
      <c r="N86" s="13">
        <v>0.37</v>
      </c>
      <c r="O86" s="13">
        <v>1.39</v>
      </c>
      <c r="P86" s="8">
        <f t="shared" si="8"/>
        <v>1.1785714285714286</v>
      </c>
      <c r="Q86" s="8">
        <f t="shared" si="9"/>
        <v>1.0580000000000001</v>
      </c>
      <c r="R86" s="8">
        <f t="shared" si="10"/>
        <v>0.89769696969696977</v>
      </c>
      <c r="S86" s="12">
        <f t="shared" si="11"/>
        <v>0.77381676529056165</v>
      </c>
    </row>
    <row r="87" spans="1:19" x14ac:dyDescent="0.5">
      <c r="A87" s="8" t="s">
        <v>100</v>
      </c>
      <c r="B87" s="8">
        <v>315.08</v>
      </c>
      <c r="C87" s="8">
        <v>384.16</v>
      </c>
      <c r="D87" s="8">
        <v>141.12</v>
      </c>
      <c r="E87" s="8">
        <v>591.95000000000005</v>
      </c>
      <c r="F87" s="8">
        <v>261.3</v>
      </c>
      <c r="G87" s="8">
        <v>376.18</v>
      </c>
      <c r="H87" s="8">
        <v>282.88</v>
      </c>
      <c r="I87" s="13">
        <v>559.9</v>
      </c>
      <c r="J87" s="13">
        <v>514.87</v>
      </c>
      <c r="K87" s="13">
        <v>156.99</v>
      </c>
      <c r="L87" s="13">
        <v>207.66</v>
      </c>
      <c r="M87" s="13">
        <v>332.35</v>
      </c>
      <c r="N87" s="13">
        <v>180.55</v>
      </c>
      <c r="O87" s="13">
        <v>156.28</v>
      </c>
      <c r="P87" s="8">
        <f t="shared" si="8"/>
        <v>336.09571428571428</v>
      </c>
      <c r="Q87" s="8">
        <f t="shared" si="9"/>
        <v>301.2285714285714</v>
      </c>
      <c r="R87" s="8">
        <f t="shared" si="10"/>
        <v>0.89625829376835675</v>
      </c>
      <c r="S87" s="12">
        <f t="shared" si="11"/>
        <v>0.68468655737834982</v>
      </c>
    </row>
    <row r="88" spans="1:19" x14ac:dyDescent="0.5">
      <c r="A88" s="8" t="s">
        <v>135</v>
      </c>
      <c r="B88" s="8">
        <v>4268.96</v>
      </c>
      <c r="C88" s="8">
        <v>3971.43</v>
      </c>
      <c r="D88" s="8">
        <v>4697.59</v>
      </c>
      <c r="E88" s="8">
        <v>4609.21</v>
      </c>
      <c r="F88" s="8">
        <v>3907.51</v>
      </c>
      <c r="G88" s="8">
        <v>4024.54</v>
      </c>
      <c r="H88" s="8">
        <v>3205.82</v>
      </c>
      <c r="I88" s="13">
        <v>3595.59</v>
      </c>
      <c r="J88" s="13">
        <v>3477.16</v>
      </c>
      <c r="K88" s="13">
        <v>2975.74</v>
      </c>
      <c r="L88" s="13">
        <v>4146.8900000000003</v>
      </c>
      <c r="M88" s="13">
        <v>3495.26</v>
      </c>
      <c r="N88" s="13">
        <v>4644.66</v>
      </c>
      <c r="O88" s="13">
        <v>3191.9</v>
      </c>
      <c r="P88" s="8">
        <f t="shared" si="8"/>
        <v>4097.8657142857137</v>
      </c>
      <c r="Q88" s="8">
        <f t="shared" si="9"/>
        <v>3646.7428571428572</v>
      </c>
      <c r="R88" s="8">
        <f t="shared" si="10"/>
        <v>0.88991272808911692</v>
      </c>
      <c r="S88" s="12">
        <f t="shared" si="11"/>
        <v>0.14205424136606423</v>
      </c>
    </row>
    <row r="89" spans="1:19" x14ac:dyDescent="0.5">
      <c r="A89" s="8" t="s">
        <v>113</v>
      </c>
      <c r="B89" s="8">
        <v>14717.45</v>
      </c>
      <c r="C89" s="8">
        <v>19645.04</v>
      </c>
      <c r="D89" s="8">
        <v>19063.490000000002</v>
      </c>
      <c r="E89" s="8">
        <v>33454.720000000001</v>
      </c>
      <c r="F89" s="8">
        <v>18140.55</v>
      </c>
      <c r="G89" s="8">
        <v>59350.52</v>
      </c>
      <c r="H89" s="8">
        <v>53342.23</v>
      </c>
      <c r="I89" s="13">
        <v>22345.72</v>
      </c>
      <c r="J89" s="13">
        <v>25125.53</v>
      </c>
      <c r="K89" s="13">
        <v>32131.01</v>
      </c>
      <c r="L89" s="13">
        <v>34467.24</v>
      </c>
      <c r="M89" s="13">
        <v>31693.360000000001</v>
      </c>
      <c r="N89" s="13">
        <v>11334.46</v>
      </c>
      <c r="O89" s="13">
        <v>35400.29</v>
      </c>
      <c r="P89" s="8">
        <f t="shared" si="8"/>
        <v>31102.000000000004</v>
      </c>
      <c r="Q89" s="8">
        <f t="shared" si="9"/>
        <v>27499.658571428568</v>
      </c>
      <c r="R89" s="8">
        <f t="shared" si="10"/>
        <v>0.88417653435240706</v>
      </c>
      <c r="S89" s="12">
        <f t="shared" si="11"/>
        <v>0.64591824726814617</v>
      </c>
    </row>
    <row r="90" spans="1:19" x14ac:dyDescent="0.5">
      <c r="A90" s="8" t="s">
        <v>76</v>
      </c>
      <c r="B90" s="8">
        <v>57.18</v>
      </c>
      <c r="C90" s="8">
        <v>84.1</v>
      </c>
      <c r="D90" s="8">
        <v>110.87</v>
      </c>
      <c r="E90" s="8">
        <v>52.44</v>
      </c>
      <c r="F90" s="8">
        <v>175.23</v>
      </c>
      <c r="G90" s="8">
        <v>82.96</v>
      </c>
      <c r="H90" s="8">
        <v>96.95</v>
      </c>
      <c r="I90" s="13">
        <v>138.55000000000001</v>
      </c>
      <c r="J90" s="13">
        <v>69.84</v>
      </c>
      <c r="K90" s="13">
        <v>82.13</v>
      </c>
      <c r="L90" s="13">
        <v>90.68</v>
      </c>
      <c r="M90" s="13">
        <v>95.96</v>
      </c>
      <c r="N90" s="13">
        <v>58.6</v>
      </c>
      <c r="O90" s="13">
        <v>45.67</v>
      </c>
      <c r="P90" s="8">
        <f t="shared" si="8"/>
        <v>94.247142857142876</v>
      </c>
      <c r="Q90" s="8">
        <f t="shared" si="9"/>
        <v>83.061428571428564</v>
      </c>
      <c r="R90" s="8">
        <f t="shared" si="10"/>
        <v>0.88131508344322651</v>
      </c>
      <c r="S90" s="12">
        <f t="shared" si="11"/>
        <v>0.57322653528531387</v>
      </c>
    </row>
    <row r="91" spans="1:19" x14ac:dyDescent="0.5">
      <c r="A91" s="8" t="s">
        <v>46</v>
      </c>
      <c r="B91" s="8">
        <v>14.52</v>
      </c>
      <c r="C91" s="8">
        <v>42.76</v>
      </c>
      <c r="D91" s="8">
        <v>23.37</v>
      </c>
      <c r="E91" s="8">
        <v>25.19</v>
      </c>
      <c r="F91" s="8">
        <v>67.325000000000003</v>
      </c>
      <c r="G91" s="8">
        <v>25.37</v>
      </c>
      <c r="H91" s="8">
        <v>67.325000000000003</v>
      </c>
      <c r="I91" s="13">
        <v>33.770000000000003</v>
      </c>
      <c r="J91" s="13">
        <v>26.2</v>
      </c>
      <c r="K91" s="13">
        <v>19.55</v>
      </c>
      <c r="L91" s="13">
        <v>41.18</v>
      </c>
      <c r="M91" s="13">
        <v>66.459999999999994</v>
      </c>
      <c r="N91" s="13">
        <v>26.11</v>
      </c>
      <c r="O91" s="13">
        <v>20.25</v>
      </c>
      <c r="P91" s="8">
        <f t="shared" si="8"/>
        <v>37.980000000000004</v>
      </c>
      <c r="Q91" s="8">
        <f t="shared" si="9"/>
        <v>33.36</v>
      </c>
      <c r="R91" s="8">
        <f t="shared" si="10"/>
        <v>0.87835703001579768</v>
      </c>
      <c r="S91" s="12">
        <f t="shared" si="11"/>
        <v>0.66172073489308114</v>
      </c>
    </row>
    <row r="92" spans="1:19" x14ac:dyDescent="0.5">
      <c r="A92" s="8" t="s">
        <v>83</v>
      </c>
      <c r="B92" s="8">
        <v>18.97</v>
      </c>
      <c r="C92" s="8">
        <v>13.83</v>
      </c>
      <c r="D92" s="8">
        <v>21.65</v>
      </c>
      <c r="E92" s="8">
        <v>18.04</v>
      </c>
      <c r="F92" s="8">
        <v>31.81</v>
      </c>
      <c r="G92" s="8">
        <v>17.21</v>
      </c>
      <c r="H92" s="8">
        <v>60.396250000000002</v>
      </c>
      <c r="I92" s="13">
        <v>33.61</v>
      </c>
      <c r="J92" s="13">
        <v>14.4</v>
      </c>
      <c r="K92" s="13">
        <v>28.7</v>
      </c>
      <c r="L92" s="13">
        <v>19.64</v>
      </c>
      <c r="M92" s="13">
        <v>47.64</v>
      </c>
      <c r="N92" s="13">
        <v>14.38</v>
      </c>
      <c r="O92" s="13">
        <v>1.32</v>
      </c>
      <c r="P92" s="8">
        <f t="shared" si="8"/>
        <v>25.986607142857142</v>
      </c>
      <c r="Q92" s="8">
        <f t="shared" si="9"/>
        <v>22.812857142857144</v>
      </c>
      <c r="R92" s="8">
        <f t="shared" si="10"/>
        <v>0.87786978182442887</v>
      </c>
      <c r="S92" s="12">
        <f t="shared" si="11"/>
        <v>0.71178444617721914</v>
      </c>
    </row>
    <row r="93" spans="1:19" x14ac:dyDescent="0.5">
      <c r="A93" s="8" t="s">
        <v>35</v>
      </c>
      <c r="B93" s="8">
        <v>0.47</v>
      </c>
      <c r="C93" s="8">
        <v>0.5</v>
      </c>
      <c r="D93" s="8">
        <v>0.38</v>
      </c>
      <c r="E93" s="8">
        <v>0.39</v>
      </c>
      <c r="F93" s="8">
        <v>0.5</v>
      </c>
      <c r="G93" s="8">
        <v>0.51</v>
      </c>
      <c r="H93" s="8">
        <v>0.79</v>
      </c>
      <c r="I93" s="13">
        <v>0.63</v>
      </c>
      <c r="J93" s="13">
        <v>0.4</v>
      </c>
      <c r="K93" s="13">
        <v>0.34</v>
      </c>
      <c r="L93" s="13">
        <v>0.57999999999999996</v>
      </c>
      <c r="M93" s="13">
        <v>0.13</v>
      </c>
      <c r="N93" s="13">
        <v>0.33</v>
      </c>
      <c r="O93" s="13">
        <v>0.68</v>
      </c>
      <c r="P93" s="8">
        <f t="shared" si="8"/>
        <v>0.50571428571428567</v>
      </c>
      <c r="Q93" s="8">
        <f t="shared" si="9"/>
        <v>0.44142857142857145</v>
      </c>
      <c r="R93" s="8">
        <f t="shared" si="10"/>
        <v>0.87288135593220351</v>
      </c>
      <c r="S93" s="12">
        <f t="shared" si="11"/>
        <v>0.491356477871422</v>
      </c>
    </row>
    <row r="94" spans="1:19" x14ac:dyDescent="0.5">
      <c r="A94" s="8" t="s">
        <v>128</v>
      </c>
      <c r="B94" s="8">
        <v>163.01</v>
      </c>
      <c r="C94" s="8">
        <v>363</v>
      </c>
      <c r="D94" s="8">
        <v>370.24</v>
      </c>
      <c r="E94" s="8">
        <v>690.24</v>
      </c>
      <c r="F94" s="8">
        <v>486.47</v>
      </c>
      <c r="G94" s="8">
        <v>537.59</v>
      </c>
      <c r="H94" s="8">
        <v>853.71</v>
      </c>
      <c r="I94" s="13">
        <v>267.66000000000003</v>
      </c>
      <c r="J94" s="13">
        <v>318.44</v>
      </c>
      <c r="K94" s="13">
        <v>173.56</v>
      </c>
      <c r="L94" s="13">
        <v>765.16</v>
      </c>
      <c r="M94" s="13">
        <v>685.41</v>
      </c>
      <c r="N94" s="13">
        <v>314.27999999999997</v>
      </c>
      <c r="O94" s="13">
        <v>497.07</v>
      </c>
      <c r="P94" s="8">
        <f t="shared" si="8"/>
        <v>494.89428571428573</v>
      </c>
      <c r="Q94" s="8">
        <f t="shared" si="9"/>
        <v>431.65428571428578</v>
      </c>
      <c r="R94" s="8">
        <f t="shared" si="10"/>
        <v>0.87221513396800476</v>
      </c>
      <c r="S94" s="12">
        <f t="shared" si="11"/>
        <v>0.60986044727175981</v>
      </c>
    </row>
    <row r="95" spans="1:19" x14ac:dyDescent="0.5">
      <c r="A95" s="8" t="s">
        <v>140</v>
      </c>
      <c r="B95" s="8">
        <v>2748.34</v>
      </c>
      <c r="C95" s="8">
        <v>4752.0200000000004</v>
      </c>
      <c r="D95" s="8">
        <v>2812.42</v>
      </c>
      <c r="E95" s="8">
        <v>4648.05</v>
      </c>
      <c r="F95" s="8">
        <v>4668.6899999999996</v>
      </c>
      <c r="G95" s="8">
        <v>3749.66</v>
      </c>
      <c r="H95" s="8">
        <v>3452.99</v>
      </c>
      <c r="I95" s="13">
        <v>3285.72</v>
      </c>
      <c r="J95" s="13">
        <v>4510.0600000000004</v>
      </c>
      <c r="K95" s="13">
        <v>3312.25</v>
      </c>
      <c r="L95" s="13">
        <v>3849.01</v>
      </c>
      <c r="M95" s="13">
        <v>3566.79</v>
      </c>
      <c r="N95" s="13">
        <v>2542.14</v>
      </c>
      <c r="O95" s="13">
        <v>2206.5</v>
      </c>
      <c r="P95" s="8">
        <f t="shared" si="8"/>
        <v>3833.1671428571426</v>
      </c>
      <c r="Q95" s="8">
        <f t="shared" si="9"/>
        <v>3324.6385714285716</v>
      </c>
      <c r="R95" s="8">
        <f t="shared" si="10"/>
        <v>0.86733462109102633</v>
      </c>
      <c r="S95" s="12">
        <f t="shared" si="11"/>
        <v>0.27163208714773068</v>
      </c>
    </row>
    <row r="96" spans="1:19" x14ac:dyDescent="0.5">
      <c r="A96" s="8" t="s">
        <v>106</v>
      </c>
      <c r="B96" s="8">
        <v>658.89</v>
      </c>
      <c r="C96" s="8">
        <v>1184.1400000000001</v>
      </c>
      <c r="D96" s="8">
        <v>173.88</v>
      </c>
      <c r="E96" s="8">
        <v>726.19</v>
      </c>
      <c r="F96" s="8">
        <v>141.75</v>
      </c>
      <c r="G96" s="8">
        <v>552.20000000000005</v>
      </c>
      <c r="H96" s="8">
        <v>1236.7562499999999</v>
      </c>
      <c r="I96" s="13">
        <v>306.93</v>
      </c>
      <c r="J96" s="13">
        <v>548.07000000000005</v>
      </c>
      <c r="K96" s="13">
        <v>481.97</v>
      </c>
      <c r="L96" s="13">
        <v>550.87</v>
      </c>
      <c r="M96" s="13">
        <v>292.42</v>
      </c>
      <c r="N96" s="13">
        <v>630.35</v>
      </c>
      <c r="O96" s="13">
        <v>1236.7562499999999</v>
      </c>
      <c r="P96" s="8">
        <f t="shared" si="8"/>
        <v>667.68660714285704</v>
      </c>
      <c r="Q96" s="8">
        <f t="shared" si="9"/>
        <v>578.19517857142853</v>
      </c>
      <c r="R96" s="8">
        <f t="shared" si="10"/>
        <v>0.86596791426687836</v>
      </c>
      <c r="S96" s="12">
        <f t="shared" si="11"/>
        <v>0.66713296481755402</v>
      </c>
    </row>
    <row r="97" spans="1:19" x14ac:dyDescent="0.5">
      <c r="A97" s="8" t="s">
        <v>103</v>
      </c>
      <c r="B97" s="8">
        <v>112.37</v>
      </c>
      <c r="C97" s="8">
        <v>161.15</v>
      </c>
      <c r="D97" s="8">
        <v>42.82</v>
      </c>
      <c r="E97" s="8">
        <v>26.44</v>
      </c>
      <c r="F97" s="8">
        <v>112.46</v>
      </c>
      <c r="G97" s="8">
        <v>54.37</v>
      </c>
      <c r="H97" s="8">
        <v>55.43</v>
      </c>
      <c r="I97" s="13">
        <v>131.19999999999999</v>
      </c>
      <c r="J97" s="13">
        <v>105.77</v>
      </c>
      <c r="K97" s="13">
        <v>11.86</v>
      </c>
      <c r="L97" s="13">
        <v>73.849999999999994</v>
      </c>
      <c r="M97" s="13">
        <v>109.37</v>
      </c>
      <c r="N97" s="13">
        <v>37.6</v>
      </c>
      <c r="O97" s="13">
        <v>19.260000000000002</v>
      </c>
      <c r="P97" s="8">
        <f t="shared" si="8"/>
        <v>80.72</v>
      </c>
      <c r="Q97" s="8">
        <f t="shared" si="9"/>
        <v>69.844285714285704</v>
      </c>
      <c r="R97" s="8">
        <f t="shared" si="10"/>
        <v>0.86526617584595766</v>
      </c>
      <c r="S97" s="12">
        <f t="shared" si="11"/>
        <v>0.6799108195468031</v>
      </c>
    </row>
    <row r="98" spans="1:19" x14ac:dyDescent="0.5">
      <c r="A98" s="8" t="s">
        <v>48</v>
      </c>
      <c r="B98" s="8">
        <v>40.06</v>
      </c>
      <c r="C98" s="8">
        <v>94.26</v>
      </c>
      <c r="D98" s="8">
        <v>39.29</v>
      </c>
      <c r="E98" s="8">
        <v>43.44</v>
      </c>
      <c r="F98" s="8">
        <v>81.400000000000006</v>
      </c>
      <c r="G98" s="8">
        <v>81.010000000000005</v>
      </c>
      <c r="H98" s="8">
        <v>73.37</v>
      </c>
      <c r="I98" s="13">
        <v>92.58</v>
      </c>
      <c r="J98" s="13">
        <v>44.5</v>
      </c>
      <c r="K98" s="13">
        <v>31.34</v>
      </c>
      <c r="L98" s="13">
        <v>64.27</v>
      </c>
      <c r="M98" s="13">
        <v>85.03</v>
      </c>
      <c r="N98" s="13">
        <v>41.18</v>
      </c>
      <c r="O98" s="13">
        <v>30.97</v>
      </c>
      <c r="P98" s="8">
        <f t="shared" ref="P98:P119" si="12">AVERAGE(B98:H98)</f>
        <v>64.69</v>
      </c>
      <c r="Q98" s="8">
        <f t="shared" ref="Q98:Q119" si="13">AVERAGE(I98:O98)</f>
        <v>55.695714285714288</v>
      </c>
      <c r="R98" s="8">
        <f t="shared" ref="R98:R119" si="14">Q98/P98</f>
        <v>0.86096327540136486</v>
      </c>
      <c r="S98" s="12">
        <f t="shared" ref="S98:S119" si="15">_xlfn.T.TEST(B98:H98,I98:O98,2,2)</f>
        <v>0.50027880609905728</v>
      </c>
    </row>
    <row r="99" spans="1:19" x14ac:dyDescent="0.5">
      <c r="A99" s="8" t="s">
        <v>104</v>
      </c>
      <c r="B99" s="8">
        <v>15518.52</v>
      </c>
      <c r="C99" s="8">
        <v>16014.14</v>
      </c>
      <c r="D99" s="8">
        <v>15633.57</v>
      </c>
      <c r="E99" s="8">
        <v>16462.59</v>
      </c>
      <c r="F99" s="8">
        <v>17767.560000000001</v>
      </c>
      <c r="G99" s="8">
        <v>17847.490000000002</v>
      </c>
      <c r="H99" s="8">
        <v>20048.47</v>
      </c>
      <c r="I99" s="13">
        <v>15834.51</v>
      </c>
      <c r="J99" s="13">
        <v>16454.13</v>
      </c>
      <c r="K99" s="13">
        <v>11075.69</v>
      </c>
      <c r="L99" s="13">
        <v>14132.55</v>
      </c>
      <c r="M99" s="13">
        <v>14785.55</v>
      </c>
      <c r="N99" s="13">
        <v>18984.77</v>
      </c>
      <c r="O99" s="13">
        <v>9688.15</v>
      </c>
      <c r="P99" s="8">
        <f t="shared" si="12"/>
        <v>17041.762857142858</v>
      </c>
      <c r="Q99" s="8">
        <f t="shared" si="13"/>
        <v>14422.192857142858</v>
      </c>
      <c r="R99" s="8">
        <f t="shared" si="14"/>
        <v>0.84628526860987052</v>
      </c>
      <c r="S99" s="12">
        <f t="shared" si="15"/>
        <v>7.6411022909258997E-2</v>
      </c>
    </row>
    <row r="100" spans="1:19" x14ac:dyDescent="0.5">
      <c r="A100" s="8" t="s">
        <v>58</v>
      </c>
      <c r="B100" s="8">
        <v>63.53</v>
      </c>
      <c r="C100" s="8">
        <v>99.29</v>
      </c>
      <c r="D100" s="8">
        <v>53.62</v>
      </c>
      <c r="E100" s="8">
        <v>248.73374999999999</v>
      </c>
      <c r="F100" s="8">
        <v>68.59</v>
      </c>
      <c r="G100" s="8">
        <v>135.18</v>
      </c>
      <c r="H100" s="8">
        <v>242.27</v>
      </c>
      <c r="I100" s="13">
        <v>234.93</v>
      </c>
      <c r="J100" s="13">
        <v>130.33000000000001</v>
      </c>
      <c r="K100" s="13">
        <v>34.99</v>
      </c>
      <c r="L100" s="13">
        <v>71.709999999999994</v>
      </c>
      <c r="M100" s="13">
        <v>119.72</v>
      </c>
      <c r="N100" s="13">
        <v>105.15</v>
      </c>
      <c r="O100" s="13">
        <v>72.819999999999993</v>
      </c>
      <c r="P100" s="8">
        <f t="shared" si="12"/>
        <v>130.17339285714283</v>
      </c>
      <c r="Q100" s="8">
        <f t="shared" si="13"/>
        <v>109.94999999999997</v>
      </c>
      <c r="R100" s="8">
        <f t="shared" si="14"/>
        <v>0.84464265382299153</v>
      </c>
      <c r="S100" s="12">
        <f t="shared" si="15"/>
        <v>0.62000182311794716</v>
      </c>
    </row>
    <row r="101" spans="1:19" x14ac:dyDescent="0.5">
      <c r="A101" s="8" t="s">
        <v>114</v>
      </c>
      <c r="B101" s="8">
        <v>481.12</v>
      </c>
      <c r="C101" s="8">
        <v>421.44</v>
      </c>
      <c r="D101" s="8">
        <v>628.03</v>
      </c>
      <c r="E101" s="8">
        <v>491.84</v>
      </c>
      <c r="F101" s="8">
        <v>599.84</v>
      </c>
      <c r="G101" s="8">
        <v>435.2</v>
      </c>
      <c r="H101" s="8">
        <v>584.9</v>
      </c>
      <c r="I101" s="13">
        <v>515.9</v>
      </c>
      <c r="J101" s="13">
        <v>370.07</v>
      </c>
      <c r="K101" s="13">
        <v>594.84</v>
      </c>
      <c r="L101" s="13">
        <v>384.05</v>
      </c>
      <c r="M101" s="13">
        <v>638.29</v>
      </c>
      <c r="N101" s="13">
        <v>278.2</v>
      </c>
      <c r="O101" s="13">
        <v>255.38</v>
      </c>
      <c r="P101" s="8">
        <f t="shared" si="12"/>
        <v>520.33857142857141</v>
      </c>
      <c r="Q101" s="8">
        <f t="shared" si="13"/>
        <v>433.81857142857137</v>
      </c>
      <c r="R101" s="8">
        <f t="shared" si="14"/>
        <v>0.83372364696612367</v>
      </c>
      <c r="S101" s="12">
        <f t="shared" si="15"/>
        <v>0.20920045244192448</v>
      </c>
    </row>
    <row r="102" spans="1:19" x14ac:dyDescent="0.5">
      <c r="A102" s="8" t="s">
        <v>137</v>
      </c>
      <c r="B102" s="8">
        <v>4.3780000000000001</v>
      </c>
      <c r="C102" s="8">
        <v>4.3780000000000001</v>
      </c>
      <c r="D102" s="8">
        <v>914.47</v>
      </c>
      <c r="E102" s="8">
        <v>479.8</v>
      </c>
      <c r="F102" s="8">
        <v>223.2</v>
      </c>
      <c r="G102" s="8">
        <v>4.3780000000000001</v>
      </c>
      <c r="H102" s="8">
        <v>2450.33925</v>
      </c>
      <c r="I102" s="13">
        <v>2450.33925</v>
      </c>
      <c r="J102" s="13">
        <v>756.02</v>
      </c>
      <c r="K102" s="13">
        <v>4.3780000000000001</v>
      </c>
      <c r="L102" s="13">
        <v>43.78</v>
      </c>
      <c r="M102" s="13">
        <v>95.18</v>
      </c>
      <c r="N102" s="13">
        <v>4.3780000000000001</v>
      </c>
      <c r="O102" s="13">
        <v>4.3780000000000001</v>
      </c>
      <c r="P102" s="8">
        <f t="shared" si="12"/>
        <v>582.99189285714294</v>
      </c>
      <c r="Q102" s="8">
        <f t="shared" si="13"/>
        <v>479.77903571428578</v>
      </c>
      <c r="R102" s="8">
        <f t="shared" si="14"/>
        <v>0.82296004728808714</v>
      </c>
      <c r="S102" s="12">
        <f t="shared" si="15"/>
        <v>0.83369509116235385</v>
      </c>
    </row>
    <row r="103" spans="1:19" x14ac:dyDescent="0.5">
      <c r="A103" s="8" t="s">
        <v>120</v>
      </c>
      <c r="B103" s="8">
        <v>4000</v>
      </c>
      <c r="C103" s="8">
        <v>9582.19</v>
      </c>
      <c r="D103" s="8">
        <v>5559.24</v>
      </c>
      <c r="E103" s="8">
        <v>14285.78</v>
      </c>
      <c r="F103" s="8">
        <v>8300.7099999999991</v>
      </c>
      <c r="G103" s="8">
        <v>11244.22</v>
      </c>
      <c r="H103" s="8">
        <v>19074.53</v>
      </c>
      <c r="I103" s="13">
        <v>8289.41</v>
      </c>
      <c r="J103" s="13">
        <v>8975.64</v>
      </c>
      <c r="K103" s="13">
        <v>5073.63</v>
      </c>
      <c r="L103" s="13">
        <v>12388.41</v>
      </c>
      <c r="M103" s="13">
        <v>10993.36</v>
      </c>
      <c r="N103" s="13">
        <v>4012.67</v>
      </c>
      <c r="O103" s="13">
        <v>8510.67</v>
      </c>
      <c r="P103" s="8">
        <f t="shared" si="12"/>
        <v>10292.381428571429</v>
      </c>
      <c r="Q103" s="8">
        <f t="shared" si="13"/>
        <v>8320.5414285714269</v>
      </c>
      <c r="R103" s="8">
        <f t="shared" si="14"/>
        <v>0.80841751603509204</v>
      </c>
      <c r="S103" s="12">
        <f t="shared" si="15"/>
        <v>0.39919040193623689</v>
      </c>
    </row>
    <row r="104" spans="1:19" x14ac:dyDescent="0.5">
      <c r="A104" s="8" t="s">
        <v>117</v>
      </c>
      <c r="B104" s="8">
        <v>30.82</v>
      </c>
      <c r="C104" s="8">
        <v>31.9</v>
      </c>
      <c r="D104" s="8">
        <v>27.11</v>
      </c>
      <c r="E104" s="8">
        <v>29.64</v>
      </c>
      <c r="F104" s="8">
        <v>46.72</v>
      </c>
      <c r="G104" s="8">
        <v>32.46</v>
      </c>
      <c r="H104" s="8">
        <v>81.793750000000003</v>
      </c>
      <c r="I104" s="13">
        <v>68.42</v>
      </c>
      <c r="J104" s="13">
        <v>27.44</v>
      </c>
      <c r="K104" s="13">
        <v>13.76</v>
      </c>
      <c r="L104" s="13">
        <v>25.18</v>
      </c>
      <c r="M104" s="13">
        <v>40.51</v>
      </c>
      <c r="N104" s="13">
        <v>36.409999999999997</v>
      </c>
      <c r="O104" s="13">
        <v>13.36</v>
      </c>
      <c r="P104" s="8">
        <f t="shared" si="12"/>
        <v>40.063392857142858</v>
      </c>
      <c r="Q104" s="8">
        <f t="shared" si="13"/>
        <v>32.154285714285713</v>
      </c>
      <c r="R104" s="8">
        <f t="shared" si="14"/>
        <v>0.8025851886519132</v>
      </c>
      <c r="S104" s="12">
        <f t="shared" si="15"/>
        <v>0.45650953840195851</v>
      </c>
    </row>
    <row r="105" spans="1:19" s="11" customFormat="1" x14ac:dyDescent="0.5">
      <c r="A105" s="8" t="s">
        <v>42</v>
      </c>
      <c r="B105" s="8">
        <v>16.12</v>
      </c>
      <c r="C105" s="8">
        <v>26.77</v>
      </c>
      <c r="D105" s="8">
        <v>18.690000000000001</v>
      </c>
      <c r="E105" s="8">
        <v>36.26</v>
      </c>
      <c r="F105" s="8">
        <v>25.4</v>
      </c>
      <c r="G105" s="8">
        <v>18.88</v>
      </c>
      <c r="H105" s="8">
        <v>45.52375</v>
      </c>
      <c r="I105" s="13">
        <v>34.39</v>
      </c>
      <c r="J105" s="13">
        <v>19.850000000000001</v>
      </c>
      <c r="K105" s="13">
        <v>16.72</v>
      </c>
      <c r="L105" s="13">
        <v>18.29</v>
      </c>
      <c r="M105" s="13">
        <v>26.42</v>
      </c>
      <c r="N105" s="13">
        <v>17.329999999999998</v>
      </c>
      <c r="O105" s="13">
        <v>17.02</v>
      </c>
      <c r="P105" s="8">
        <f t="shared" si="12"/>
        <v>26.806250000000002</v>
      </c>
      <c r="Q105" s="8">
        <f t="shared" si="13"/>
        <v>21.431428571428572</v>
      </c>
      <c r="R105" s="8">
        <f t="shared" si="14"/>
        <v>0.79949372148019848</v>
      </c>
      <c r="S105" s="12">
        <f t="shared" si="15"/>
        <v>0.28008495487901791</v>
      </c>
    </row>
    <row r="106" spans="1:19" x14ac:dyDescent="0.5">
      <c r="A106" s="8" t="s">
        <v>80</v>
      </c>
      <c r="B106" s="8">
        <v>388.53</v>
      </c>
      <c r="C106" s="8">
        <v>496.41</v>
      </c>
      <c r="D106" s="8">
        <v>256.99</v>
      </c>
      <c r="E106" s="8">
        <v>105.76</v>
      </c>
      <c r="F106" s="8">
        <v>303.67</v>
      </c>
      <c r="G106" s="8">
        <v>395.85</v>
      </c>
      <c r="H106" s="8">
        <v>670.1</v>
      </c>
      <c r="I106" s="13">
        <v>443.24</v>
      </c>
      <c r="J106" s="13">
        <v>686.55</v>
      </c>
      <c r="K106" s="13">
        <v>209.18</v>
      </c>
      <c r="L106" s="13">
        <v>137.81</v>
      </c>
      <c r="M106" s="13">
        <v>134.47</v>
      </c>
      <c r="N106" s="13">
        <v>337.43</v>
      </c>
      <c r="O106" s="13">
        <v>46.8</v>
      </c>
      <c r="P106" s="8">
        <f t="shared" si="12"/>
        <v>373.90142857142854</v>
      </c>
      <c r="Q106" s="8">
        <f t="shared" si="13"/>
        <v>285.06857142857143</v>
      </c>
      <c r="R106" s="8">
        <f t="shared" si="14"/>
        <v>0.76241637406344687</v>
      </c>
      <c r="S106" s="12">
        <f t="shared" si="15"/>
        <v>0.42677102059408434</v>
      </c>
    </row>
    <row r="107" spans="1:19" x14ac:dyDescent="0.5">
      <c r="A107" s="8" t="s">
        <v>129</v>
      </c>
      <c r="B107" s="8">
        <v>49.32</v>
      </c>
      <c r="C107" s="8">
        <v>118.32</v>
      </c>
      <c r="D107" s="8">
        <v>123.68</v>
      </c>
      <c r="E107" s="8">
        <v>89.67</v>
      </c>
      <c r="F107" s="8">
        <v>78.3</v>
      </c>
      <c r="G107" s="8">
        <v>104.55</v>
      </c>
      <c r="H107" s="8">
        <v>277.89375000000001</v>
      </c>
      <c r="I107" s="13">
        <v>219.41</v>
      </c>
      <c r="J107" s="13">
        <v>97.45</v>
      </c>
      <c r="K107" s="13">
        <v>71.150000000000006</v>
      </c>
      <c r="L107" s="13">
        <v>2.2480000000000002</v>
      </c>
      <c r="M107" s="13">
        <v>79.28</v>
      </c>
      <c r="N107" s="13">
        <v>43.04</v>
      </c>
      <c r="O107" s="13">
        <v>111.19</v>
      </c>
      <c r="P107" s="8">
        <f t="shared" si="12"/>
        <v>120.24767857142858</v>
      </c>
      <c r="Q107" s="8">
        <f t="shared" si="13"/>
        <v>89.10971428571429</v>
      </c>
      <c r="R107" s="8">
        <f t="shared" si="14"/>
        <v>0.74105143104930749</v>
      </c>
      <c r="S107" s="12">
        <f t="shared" si="15"/>
        <v>0.42782877406913222</v>
      </c>
    </row>
    <row r="108" spans="1:19" x14ac:dyDescent="0.5">
      <c r="A108" s="8" t="s">
        <v>143</v>
      </c>
      <c r="B108" s="8">
        <v>23.51</v>
      </c>
      <c r="C108" s="8">
        <v>4.83</v>
      </c>
      <c r="D108" s="8">
        <v>4.74</v>
      </c>
      <c r="E108" s="8">
        <v>5.05</v>
      </c>
      <c r="F108" s="8">
        <v>8.86</v>
      </c>
      <c r="G108" s="8">
        <v>0.34300000000000003</v>
      </c>
      <c r="H108" s="8">
        <v>49.67</v>
      </c>
      <c r="I108" s="13">
        <v>26.48</v>
      </c>
      <c r="J108" s="13">
        <v>22.5</v>
      </c>
      <c r="K108" s="13">
        <v>0.34300000000000003</v>
      </c>
      <c r="L108" s="13">
        <v>8.7899999999999991</v>
      </c>
      <c r="M108" s="13">
        <v>9.3699999999999992</v>
      </c>
      <c r="N108" s="13">
        <v>3.43</v>
      </c>
      <c r="O108" s="13">
        <v>0.34300000000000003</v>
      </c>
      <c r="P108" s="8">
        <f t="shared" si="12"/>
        <v>13.857571428571431</v>
      </c>
      <c r="Q108" s="8">
        <f t="shared" si="13"/>
        <v>10.179428571428573</v>
      </c>
      <c r="R108" s="8">
        <f t="shared" si="14"/>
        <v>0.73457521932311376</v>
      </c>
      <c r="S108" s="12">
        <f t="shared" si="15"/>
        <v>0.64109489355761451</v>
      </c>
    </row>
    <row r="109" spans="1:19" x14ac:dyDescent="0.5">
      <c r="A109" s="8" t="s">
        <v>77</v>
      </c>
      <c r="B109" s="8">
        <v>1401.84</v>
      </c>
      <c r="C109" s="8">
        <v>1456.27</v>
      </c>
      <c r="D109" s="8">
        <v>1204.67</v>
      </c>
      <c r="E109" s="8">
        <v>2080.48</v>
      </c>
      <c r="F109" s="8">
        <v>2028.05</v>
      </c>
      <c r="G109" s="8">
        <v>1253.74</v>
      </c>
      <c r="H109" s="8">
        <v>1564</v>
      </c>
      <c r="I109" s="13">
        <v>1897.76</v>
      </c>
      <c r="J109" s="13">
        <v>1638.63</v>
      </c>
      <c r="K109" s="13">
        <v>1224.51</v>
      </c>
      <c r="L109" s="13">
        <v>956.1</v>
      </c>
      <c r="M109" s="13">
        <v>796.7</v>
      </c>
      <c r="N109" s="13">
        <v>751.39</v>
      </c>
      <c r="O109" s="13">
        <v>607.61</v>
      </c>
      <c r="P109" s="8">
        <f t="shared" si="12"/>
        <v>1569.8642857142859</v>
      </c>
      <c r="Q109" s="8">
        <f t="shared" si="13"/>
        <v>1124.6714285714286</v>
      </c>
      <c r="R109" s="8">
        <f t="shared" si="14"/>
        <v>0.71641315673329353</v>
      </c>
      <c r="S109" s="12">
        <f t="shared" si="15"/>
        <v>7.3209476179869129E-2</v>
      </c>
    </row>
    <row r="110" spans="1:19" x14ac:dyDescent="0.5">
      <c r="A110" s="8" t="s">
        <v>38</v>
      </c>
      <c r="B110" s="8">
        <v>1877.60625</v>
      </c>
      <c r="C110" s="8">
        <v>128.13999999999999</v>
      </c>
      <c r="D110" s="8">
        <v>77.040000000000006</v>
      </c>
      <c r="E110" s="8">
        <v>1877.60625</v>
      </c>
      <c r="F110" s="8">
        <v>112.23</v>
      </c>
      <c r="G110" s="8">
        <v>289.06</v>
      </c>
      <c r="H110" s="8">
        <v>1877.60625</v>
      </c>
      <c r="I110" s="13">
        <v>206.26</v>
      </c>
      <c r="J110" s="13">
        <v>237.66</v>
      </c>
      <c r="K110" s="13">
        <v>484.8</v>
      </c>
      <c r="L110" s="13">
        <v>577.13</v>
      </c>
      <c r="M110" s="13">
        <v>198.71</v>
      </c>
      <c r="N110" s="13">
        <v>810.19</v>
      </c>
      <c r="O110" s="13">
        <v>1877.60625</v>
      </c>
      <c r="P110" s="8">
        <f t="shared" si="12"/>
        <v>891.32696428571421</v>
      </c>
      <c r="Q110" s="8">
        <f t="shared" si="13"/>
        <v>627.47946428571424</v>
      </c>
      <c r="R110" s="8">
        <f t="shared" si="14"/>
        <v>0.70398348689984902</v>
      </c>
      <c r="S110" s="12">
        <f t="shared" si="15"/>
        <v>0.53775161220479162</v>
      </c>
    </row>
    <row r="111" spans="1:19" x14ac:dyDescent="0.5">
      <c r="A111" s="8" t="s">
        <v>127</v>
      </c>
      <c r="B111" s="8">
        <v>275.77</v>
      </c>
      <c r="C111" s="8">
        <v>323.68</v>
      </c>
      <c r="D111" s="8">
        <v>274.73</v>
      </c>
      <c r="E111" s="8">
        <v>708.62</v>
      </c>
      <c r="F111" s="8">
        <v>1147.8162500000001</v>
      </c>
      <c r="G111" s="8">
        <v>626.41</v>
      </c>
      <c r="H111" s="8">
        <v>1147.8162500000001</v>
      </c>
      <c r="I111" s="13">
        <v>410.94</v>
      </c>
      <c r="J111" s="13">
        <v>644.72</v>
      </c>
      <c r="K111" s="13">
        <v>289.99</v>
      </c>
      <c r="L111" s="13">
        <v>555.08000000000004</v>
      </c>
      <c r="M111" s="13">
        <v>376.88</v>
      </c>
      <c r="N111" s="13">
        <v>192.29</v>
      </c>
      <c r="O111" s="13">
        <v>575.84</v>
      </c>
      <c r="P111" s="8">
        <f t="shared" si="12"/>
        <v>643.54892857142852</v>
      </c>
      <c r="Q111" s="8">
        <f t="shared" si="13"/>
        <v>435.10571428571433</v>
      </c>
      <c r="R111" s="8">
        <f t="shared" si="14"/>
        <v>0.67610354857023314</v>
      </c>
      <c r="S111" s="12">
        <f t="shared" si="15"/>
        <v>0.21177146939086711</v>
      </c>
    </row>
    <row r="112" spans="1:19" x14ac:dyDescent="0.5">
      <c r="A112" s="8" t="s">
        <v>60</v>
      </c>
      <c r="B112" s="8">
        <v>1389.41875</v>
      </c>
      <c r="C112" s="8">
        <v>186.77</v>
      </c>
      <c r="D112" s="8">
        <v>165.89</v>
      </c>
      <c r="E112" s="8">
        <v>723.19</v>
      </c>
      <c r="F112" s="8">
        <v>15.032</v>
      </c>
      <c r="G112" s="8">
        <v>462.29</v>
      </c>
      <c r="H112" s="8">
        <v>1389.41875</v>
      </c>
      <c r="I112" s="13">
        <v>270.16000000000003</v>
      </c>
      <c r="J112" s="13">
        <v>261.27</v>
      </c>
      <c r="K112" s="13">
        <v>301.35000000000002</v>
      </c>
      <c r="L112" s="13">
        <v>332.5</v>
      </c>
      <c r="M112" s="13">
        <v>150.32</v>
      </c>
      <c r="N112" s="13">
        <v>907.17</v>
      </c>
      <c r="O112" s="13">
        <v>644.75</v>
      </c>
      <c r="P112" s="8">
        <f t="shared" si="12"/>
        <v>618.85850000000005</v>
      </c>
      <c r="Q112" s="8">
        <f t="shared" si="13"/>
        <v>409.64571428571429</v>
      </c>
      <c r="R112" s="8">
        <f t="shared" si="14"/>
        <v>0.66193760655418687</v>
      </c>
      <c r="S112" s="12">
        <f t="shared" si="15"/>
        <v>0.39946404334935104</v>
      </c>
    </row>
    <row r="113" spans="1:19" x14ac:dyDescent="0.5">
      <c r="A113" s="8" t="s">
        <v>141</v>
      </c>
      <c r="B113" s="8">
        <v>1.4E-2</v>
      </c>
      <c r="C113" s="8">
        <v>1.4E-2</v>
      </c>
      <c r="D113" s="8">
        <v>39.86</v>
      </c>
      <c r="E113" s="8">
        <v>27.1</v>
      </c>
      <c r="F113" s="8">
        <v>97.7</v>
      </c>
      <c r="G113" s="8">
        <v>4.59</v>
      </c>
      <c r="H113" s="8">
        <v>101.58</v>
      </c>
      <c r="I113" s="13">
        <v>66.77</v>
      </c>
      <c r="J113" s="13">
        <v>47.6</v>
      </c>
      <c r="K113" s="13">
        <v>1.9</v>
      </c>
      <c r="L113" s="13">
        <v>0.14000000000000001</v>
      </c>
      <c r="M113" s="13">
        <v>28.82</v>
      </c>
      <c r="N113" s="13">
        <v>3.48</v>
      </c>
      <c r="O113" s="13">
        <v>6.61</v>
      </c>
      <c r="P113" s="8">
        <f t="shared" si="12"/>
        <v>38.694000000000003</v>
      </c>
      <c r="Q113" s="8">
        <f t="shared" si="13"/>
        <v>22.188571428571432</v>
      </c>
      <c r="R113" s="8">
        <f t="shared" si="14"/>
        <v>0.573437003891338</v>
      </c>
      <c r="S113" s="12">
        <f t="shared" si="15"/>
        <v>0.41280037401060488</v>
      </c>
    </row>
    <row r="114" spans="1:19" x14ac:dyDescent="0.5">
      <c r="A114" s="8" t="s">
        <v>32</v>
      </c>
      <c r="B114" s="8">
        <v>3064.6437500000002</v>
      </c>
      <c r="C114" s="8">
        <v>931.31</v>
      </c>
      <c r="D114" s="8">
        <v>190.23</v>
      </c>
      <c r="E114" s="8">
        <v>3064.6437500000002</v>
      </c>
      <c r="F114" s="8">
        <v>235.88</v>
      </c>
      <c r="G114" s="8">
        <v>976.09</v>
      </c>
      <c r="H114" s="8">
        <v>3064.6437500000002</v>
      </c>
      <c r="I114" s="13">
        <v>272.49</v>
      </c>
      <c r="J114" s="13">
        <v>392.16</v>
      </c>
      <c r="K114" s="13">
        <v>2013.17</v>
      </c>
      <c r="L114" s="13">
        <v>665.17</v>
      </c>
      <c r="M114" s="13">
        <v>2.95</v>
      </c>
      <c r="N114" s="13">
        <v>1106.47</v>
      </c>
      <c r="O114" s="13">
        <v>2013.44</v>
      </c>
      <c r="P114" s="8">
        <f t="shared" si="12"/>
        <v>1646.7773214285714</v>
      </c>
      <c r="Q114" s="8">
        <f t="shared" si="13"/>
        <v>923.69285714285718</v>
      </c>
      <c r="R114" s="8">
        <f t="shared" si="14"/>
        <v>0.56090938654751332</v>
      </c>
      <c r="S114" s="12">
        <f t="shared" si="15"/>
        <v>0.25158504507303481</v>
      </c>
    </row>
    <row r="115" spans="1:19" x14ac:dyDescent="0.5">
      <c r="A115" s="8" t="s">
        <v>142</v>
      </c>
      <c r="B115" s="8">
        <v>353.24</v>
      </c>
      <c r="C115" s="8">
        <v>601.35</v>
      </c>
      <c r="D115" s="8">
        <v>3341.15</v>
      </c>
      <c r="E115" s="8">
        <v>2381.6</v>
      </c>
      <c r="F115" s="8">
        <v>4306.17</v>
      </c>
      <c r="G115" s="8">
        <v>767.97</v>
      </c>
      <c r="H115" s="8">
        <v>1324.74</v>
      </c>
      <c r="I115" s="13">
        <v>1118.9100000000001</v>
      </c>
      <c r="J115" s="13">
        <v>780.37</v>
      </c>
      <c r="K115" s="13">
        <v>831.68</v>
      </c>
      <c r="L115" s="13">
        <v>1185.4100000000001</v>
      </c>
      <c r="M115" s="13">
        <v>1593.39</v>
      </c>
      <c r="N115" s="13">
        <v>884.02</v>
      </c>
      <c r="O115" s="13">
        <v>704.52</v>
      </c>
      <c r="P115" s="8">
        <f t="shared" si="12"/>
        <v>1868.0314285714285</v>
      </c>
      <c r="Q115" s="8">
        <f t="shared" si="13"/>
        <v>1014.0428571428573</v>
      </c>
      <c r="R115" s="8">
        <f t="shared" si="14"/>
        <v>0.54284036212299902</v>
      </c>
      <c r="S115" s="12">
        <f t="shared" si="15"/>
        <v>0.16982748443320791</v>
      </c>
    </row>
    <row r="116" spans="1:19" x14ac:dyDescent="0.5">
      <c r="A116" s="8" t="s">
        <v>139</v>
      </c>
      <c r="B116" s="8">
        <v>0.4</v>
      </c>
      <c r="C116" s="8">
        <v>6.89</v>
      </c>
      <c r="D116" s="8">
        <v>46.433750000000003</v>
      </c>
      <c r="E116" s="8">
        <v>5.9</v>
      </c>
      <c r="F116" s="8">
        <v>8.76</v>
      </c>
      <c r="G116" s="8">
        <v>3.37</v>
      </c>
      <c r="H116" s="8">
        <v>46.433750000000003</v>
      </c>
      <c r="I116" s="13">
        <v>27.89</v>
      </c>
      <c r="J116" s="13">
        <v>7.99</v>
      </c>
      <c r="K116" s="13">
        <v>1.07</v>
      </c>
      <c r="L116" s="13">
        <v>4.1100000000000003</v>
      </c>
      <c r="M116" s="13">
        <v>6.78</v>
      </c>
      <c r="N116" s="13">
        <v>12.3</v>
      </c>
      <c r="O116" s="13">
        <v>0.27</v>
      </c>
      <c r="P116" s="8">
        <f t="shared" si="12"/>
        <v>16.883928571428573</v>
      </c>
      <c r="Q116" s="8">
        <f t="shared" si="13"/>
        <v>8.6300000000000008</v>
      </c>
      <c r="R116" s="8">
        <f t="shared" si="14"/>
        <v>0.51113696456901114</v>
      </c>
      <c r="S116" s="12">
        <f t="shared" si="15"/>
        <v>0.34980690897122102</v>
      </c>
    </row>
    <row r="117" spans="1:19" x14ac:dyDescent="0.5">
      <c r="A117" s="8" t="s">
        <v>91</v>
      </c>
      <c r="B117" s="8">
        <v>0.251</v>
      </c>
      <c r="C117" s="8">
        <v>2.5099999999999998</v>
      </c>
      <c r="D117" s="8">
        <v>221.45</v>
      </c>
      <c r="E117" s="8">
        <v>170.13</v>
      </c>
      <c r="F117" s="8">
        <v>72.989999999999995</v>
      </c>
      <c r="G117" s="8">
        <v>237.84</v>
      </c>
      <c r="H117" s="8">
        <v>563.49225000000001</v>
      </c>
      <c r="I117" s="13">
        <v>308.12</v>
      </c>
      <c r="J117" s="13">
        <v>10.47</v>
      </c>
      <c r="K117" s="13">
        <v>17.989999999999998</v>
      </c>
      <c r="L117" s="13">
        <v>106.32</v>
      </c>
      <c r="M117" s="13">
        <v>14.7</v>
      </c>
      <c r="N117" s="13">
        <v>0.251</v>
      </c>
      <c r="O117" s="13">
        <v>0.251</v>
      </c>
      <c r="P117" s="8">
        <f t="shared" si="12"/>
        <v>181.23760714285714</v>
      </c>
      <c r="Q117" s="8">
        <f t="shared" si="13"/>
        <v>65.44314285714286</v>
      </c>
      <c r="R117" s="8">
        <f t="shared" si="14"/>
        <v>0.36109030509081114</v>
      </c>
      <c r="S117" s="12">
        <f t="shared" si="15"/>
        <v>0.19877799075235009</v>
      </c>
    </row>
    <row r="118" spans="1:19" x14ac:dyDescent="0.5">
      <c r="A118" s="8" t="s">
        <v>144</v>
      </c>
      <c r="B118" s="8">
        <v>377.44</v>
      </c>
      <c r="C118" s="8">
        <v>1573.39</v>
      </c>
      <c r="D118" s="8">
        <v>5841.13</v>
      </c>
      <c r="E118" s="8">
        <v>6927.63</v>
      </c>
      <c r="F118" s="8">
        <v>410.35</v>
      </c>
      <c r="G118" s="8">
        <v>8694.67</v>
      </c>
      <c r="H118" s="8">
        <v>2154.4699999999998</v>
      </c>
      <c r="I118" s="13">
        <v>2455.63</v>
      </c>
      <c r="J118" s="13">
        <v>607.12</v>
      </c>
      <c r="K118" s="13">
        <v>1267.06</v>
      </c>
      <c r="L118" s="13">
        <v>408.38</v>
      </c>
      <c r="M118" s="13">
        <v>2726.34</v>
      </c>
      <c r="N118" s="13">
        <v>497.82</v>
      </c>
      <c r="O118" s="13">
        <v>880.79</v>
      </c>
      <c r="P118" s="8">
        <f t="shared" si="12"/>
        <v>3711.2971428571432</v>
      </c>
      <c r="Q118" s="8">
        <f t="shared" si="13"/>
        <v>1263.3057142857142</v>
      </c>
      <c r="R118" s="8">
        <f t="shared" si="14"/>
        <v>0.34039465600783392</v>
      </c>
      <c r="S118" s="12">
        <f t="shared" si="15"/>
        <v>9.0303100221271818E-2</v>
      </c>
    </row>
    <row r="119" spans="1:19" x14ac:dyDescent="0.5">
      <c r="A119" s="8" t="s">
        <v>145</v>
      </c>
      <c r="B119" s="8">
        <v>76.180000000000007</v>
      </c>
      <c r="C119" s="8">
        <v>156.24</v>
      </c>
      <c r="D119" s="8">
        <v>357.60500000000002</v>
      </c>
      <c r="E119" s="8">
        <v>14.17</v>
      </c>
      <c r="F119" s="8">
        <v>349.09</v>
      </c>
      <c r="G119" s="8">
        <v>104.78</v>
      </c>
      <c r="H119" s="8">
        <v>116.84</v>
      </c>
      <c r="I119" s="13">
        <v>123.01</v>
      </c>
      <c r="J119" s="13">
        <v>61.48</v>
      </c>
      <c r="K119" s="13">
        <v>23.73</v>
      </c>
      <c r="L119" s="13">
        <v>12.41</v>
      </c>
      <c r="M119" s="13">
        <v>46.8</v>
      </c>
      <c r="N119" s="13">
        <v>104.12</v>
      </c>
      <c r="O119" s="13">
        <v>24.38</v>
      </c>
      <c r="P119" s="8">
        <f t="shared" si="12"/>
        <v>167.84357142857144</v>
      </c>
      <c r="Q119" s="8">
        <f t="shared" si="13"/>
        <v>56.561428571428571</v>
      </c>
      <c r="R119" s="8">
        <f t="shared" si="14"/>
        <v>0.33698894804260771</v>
      </c>
      <c r="S119" s="12">
        <f t="shared" si="15"/>
        <v>5.8009066449697333E-2</v>
      </c>
    </row>
    <row r="120" spans="1:19" x14ac:dyDescent="0.5">
      <c r="S120" s="10"/>
    </row>
  </sheetData>
  <phoneticPr fontId="5" type="noConversion"/>
  <conditionalFormatting sqref="S2:S120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DB25-D41C-4DA5-822B-3CFBFC99DEE9}">
  <dimension ref="A1:S121"/>
  <sheetViews>
    <sheetView workbookViewId="0">
      <selection activeCell="R1" sqref="R1:S1048576"/>
    </sheetView>
  </sheetViews>
  <sheetFormatPr defaultColWidth="9.046875" defaultRowHeight="14.1" x14ac:dyDescent="0.5"/>
  <cols>
    <col min="1" max="8" width="9.046875" style="8"/>
    <col min="9" max="15" width="9.046875" style="9"/>
    <col min="16" max="16384" width="9.046875" style="8"/>
  </cols>
  <sheetData>
    <row r="1" spans="1:19" x14ac:dyDescent="0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6" t="s">
        <v>23</v>
      </c>
      <c r="Q1" s="6" t="s">
        <v>24</v>
      </c>
      <c r="R1" s="6" t="s">
        <v>146</v>
      </c>
      <c r="S1" s="16" t="s">
        <v>147</v>
      </c>
    </row>
    <row r="2" spans="1:19" x14ac:dyDescent="0.5">
      <c r="A2" s="8" t="s">
        <v>28</v>
      </c>
      <c r="B2" s="8">
        <v>2.9000000000000001E-2</v>
      </c>
      <c r="C2" s="8">
        <v>2.9000000000000001E-2</v>
      </c>
      <c r="D2" s="8">
        <v>2.9000000000000001E-2</v>
      </c>
      <c r="E2" s="8">
        <v>2.9000000000000001E-2</v>
      </c>
      <c r="F2" s="8">
        <v>2.9000000000000001E-2</v>
      </c>
      <c r="G2" s="8">
        <v>2.9000000000000001E-2</v>
      </c>
      <c r="H2" s="8">
        <v>2.9000000000000001E-2</v>
      </c>
      <c r="I2" s="9">
        <v>22.02</v>
      </c>
      <c r="J2" s="9">
        <v>13.03</v>
      </c>
      <c r="K2" s="9">
        <v>2.9000000000000001E-2</v>
      </c>
      <c r="L2" s="9">
        <v>42.71</v>
      </c>
      <c r="M2" s="9">
        <v>18.510000000000002</v>
      </c>
      <c r="N2" s="9">
        <v>44.91</v>
      </c>
      <c r="O2" s="9">
        <v>2.9000000000000001E-2</v>
      </c>
      <c r="P2" s="8">
        <f t="shared" ref="P2:P33" si="0">AVERAGE(B2:H2)</f>
        <v>2.9000000000000001E-2</v>
      </c>
      <c r="Q2" s="8">
        <f t="shared" ref="Q2:Q33" si="1">AVERAGE(I2:O2)</f>
        <v>20.176857142857141</v>
      </c>
      <c r="R2" s="8">
        <f t="shared" ref="R2:R33" si="2">Q2/P2</f>
        <v>695.75369458128068</v>
      </c>
      <c r="S2" s="12">
        <f t="shared" ref="S2:S33" si="3">_xlfn.T.TEST(B2:H2,I2:O2,2,2)</f>
        <v>1.264945482639351E-2</v>
      </c>
    </row>
    <row r="3" spans="1:19" x14ac:dyDescent="0.5">
      <c r="A3" s="8" t="s">
        <v>29</v>
      </c>
      <c r="B3" s="8">
        <v>0.67</v>
      </c>
      <c r="C3" s="8">
        <v>6.7000000000000004E-2</v>
      </c>
      <c r="D3" s="8">
        <v>6.7000000000000004E-2</v>
      </c>
      <c r="E3" s="8">
        <v>6.7000000000000004E-2</v>
      </c>
      <c r="F3" s="8">
        <v>6.7000000000000004E-2</v>
      </c>
      <c r="G3" s="8">
        <v>6.7000000000000004E-2</v>
      </c>
      <c r="H3" s="8">
        <v>6.7000000000000004E-2</v>
      </c>
      <c r="I3" s="9">
        <v>5.45</v>
      </c>
      <c r="J3" s="9">
        <v>6.98</v>
      </c>
      <c r="K3" s="9">
        <v>3.43</v>
      </c>
      <c r="L3" s="9">
        <v>3.07</v>
      </c>
      <c r="M3" s="9">
        <v>3.96</v>
      </c>
      <c r="N3" s="9">
        <v>2.4900000000000002</v>
      </c>
      <c r="O3" s="9">
        <v>3.04</v>
      </c>
      <c r="P3" s="8">
        <f t="shared" si="0"/>
        <v>0.15314285714285711</v>
      </c>
      <c r="Q3" s="8">
        <f t="shared" si="1"/>
        <v>4.0600000000000005</v>
      </c>
      <c r="R3" s="8">
        <f t="shared" si="2"/>
        <v>26.511194029850756</v>
      </c>
      <c r="S3" s="12">
        <f t="shared" si="3"/>
        <v>3.4141891037027972E-5</v>
      </c>
    </row>
    <row r="4" spans="1:19" x14ac:dyDescent="0.5">
      <c r="A4" s="8" t="s">
        <v>30</v>
      </c>
      <c r="B4" s="8">
        <v>1E-3</v>
      </c>
      <c r="C4" s="8">
        <v>28.91</v>
      </c>
      <c r="D4" s="8">
        <v>1E-3</v>
      </c>
      <c r="E4" s="8">
        <v>1E-3</v>
      </c>
      <c r="F4" s="8">
        <v>1E-3</v>
      </c>
      <c r="G4" s="8">
        <v>0.01</v>
      </c>
      <c r="H4" s="8">
        <v>1.44</v>
      </c>
      <c r="I4" s="9">
        <v>112.18</v>
      </c>
      <c r="J4" s="9">
        <v>68.430000000000007</v>
      </c>
      <c r="K4" s="9">
        <v>35.090000000000003</v>
      </c>
      <c r="L4" s="9">
        <v>128.9</v>
      </c>
      <c r="M4" s="9">
        <v>129.29</v>
      </c>
      <c r="N4" s="9">
        <v>60.62</v>
      </c>
      <c r="O4" s="9">
        <v>36.770000000000003</v>
      </c>
      <c r="P4" s="8">
        <f t="shared" si="0"/>
        <v>4.337714285714287</v>
      </c>
      <c r="Q4" s="8">
        <f t="shared" si="1"/>
        <v>81.611428571428561</v>
      </c>
      <c r="R4" s="8">
        <f t="shared" si="2"/>
        <v>18.81438545646159</v>
      </c>
      <c r="S4" s="12">
        <f t="shared" si="3"/>
        <v>4.4244417260427794E-4</v>
      </c>
    </row>
    <row r="5" spans="1:19" x14ac:dyDescent="0.5">
      <c r="A5" s="8" t="s">
        <v>31</v>
      </c>
      <c r="B5" s="8">
        <v>6.0000000000000001E-3</v>
      </c>
      <c r="C5" s="8">
        <v>0.84</v>
      </c>
      <c r="D5" s="8">
        <v>6.0000000000000001E-3</v>
      </c>
      <c r="E5" s="8">
        <v>6.0000000000000001E-3</v>
      </c>
      <c r="F5" s="8">
        <v>6.0000000000000001E-3</v>
      </c>
      <c r="G5" s="8">
        <v>6.0000000000000001E-3</v>
      </c>
      <c r="H5" s="8">
        <v>6.0000000000000001E-3</v>
      </c>
      <c r="I5" s="9">
        <v>1.69</v>
      </c>
      <c r="J5" s="9">
        <v>2.46</v>
      </c>
      <c r="K5" s="9">
        <v>0.98</v>
      </c>
      <c r="L5" s="9">
        <v>0.51</v>
      </c>
      <c r="M5" s="9">
        <v>6.0000000000000001E-3</v>
      </c>
      <c r="N5" s="9">
        <v>0.37</v>
      </c>
      <c r="O5" s="9">
        <v>1.39</v>
      </c>
      <c r="P5" s="8">
        <f t="shared" si="0"/>
        <v>0.12514285714285714</v>
      </c>
      <c r="Q5" s="8">
        <f t="shared" si="1"/>
        <v>1.0580000000000001</v>
      </c>
      <c r="R5" s="8">
        <f t="shared" si="2"/>
        <v>8.4543378995433791</v>
      </c>
      <c r="S5" s="12">
        <f t="shared" si="3"/>
        <v>1.8776026900261301E-2</v>
      </c>
    </row>
    <row r="6" spans="1:19" x14ac:dyDescent="0.5">
      <c r="A6" s="8" t="s">
        <v>32</v>
      </c>
      <c r="B6" s="8">
        <v>207.95</v>
      </c>
      <c r="C6" s="8">
        <v>30.06</v>
      </c>
      <c r="D6" s="8">
        <v>144.56</v>
      </c>
      <c r="E6" s="8">
        <v>411.28</v>
      </c>
      <c r="F6" s="8">
        <v>0.29499999999999998</v>
      </c>
      <c r="G6" s="8">
        <v>0.29499999999999998</v>
      </c>
      <c r="H6" s="8">
        <v>0.29499999999999998</v>
      </c>
      <c r="I6" s="9">
        <v>272.49</v>
      </c>
      <c r="J6" s="9">
        <v>392.16</v>
      </c>
      <c r="K6" s="9">
        <v>2013.17</v>
      </c>
      <c r="L6" s="9">
        <v>665.17</v>
      </c>
      <c r="M6" s="9">
        <v>2.95</v>
      </c>
      <c r="N6" s="9">
        <v>1106.47</v>
      </c>
      <c r="O6" s="9">
        <v>2013.44</v>
      </c>
      <c r="P6" s="8">
        <f t="shared" si="0"/>
        <v>113.53357142857139</v>
      </c>
      <c r="Q6" s="8">
        <f t="shared" si="1"/>
        <v>923.69285714285718</v>
      </c>
      <c r="R6" s="8">
        <f t="shared" si="2"/>
        <v>8.1358566062901492</v>
      </c>
      <c r="S6" s="12">
        <f t="shared" si="3"/>
        <v>2.4536562592082652E-2</v>
      </c>
    </row>
    <row r="7" spans="1:19" x14ac:dyDescent="0.5">
      <c r="A7" s="8" t="s">
        <v>33</v>
      </c>
      <c r="B7" s="8">
        <v>0.63500000000000001</v>
      </c>
      <c r="C7" s="8">
        <v>23.47</v>
      </c>
      <c r="D7" s="8">
        <v>33.11</v>
      </c>
      <c r="E7" s="8">
        <v>32.47</v>
      </c>
      <c r="F7" s="8">
        <v>0.63500000000000001</v>
      </c>
      <c r="G7" s="8">
        <v>0.63500000000000001</v>
      </c>
      <c r="H7" s="8">
        <v>6.35</v>
      </c>
      <c r="I7" s="9">
        <v>129.09</v>
      </c>
      <c r="J7" s="9">
        <v>157.47</v>
      </c>
      <c r="K7" s="9">
        <v>108.18</v>
      </c>
      <c r="L7" s="9">
        <v>106.81</v>
      </c>
      <c r="M7" s="9">
        <v>129.34</v>
      </c>
      <c r="N7" s="9">
        <v>95.57</v>
      </c>
      <c r="O7" s="9">
        <v>63.36</v>
      </c>
      <c r="P7" s="8">
        <f t="shared" si="0"/>
        <v>13.900714285714287</v>
      </c>
      <c r="Q7" s="8">
        <f t="shared" si="1"/>
        <v>112.83142857142857</v>
      </c>
      <c r="R7" s="8">
        <f t="shared" si="2"/>
        <v>8.1169518524227939</v>
      </c>
      <c r="S7" s="12">
        <f t="shared" si="3"/>
        <v>4.746566422772228E-6</v>
      </c>
    </row>
    <row r="8" spans="1:19" x14ac:dyDescent="0.5">
      <c r="A8" s="8" t="s">
        <v>34</v>
      </c>
      <c r="B8" s="8">
        <v>0.97</v>
      </c>
      <c r="C8" s="8">
        <v>6.21</v>
      </c>
      <c r="D8" s="8">
        <v>2.3E-2</v>
      </c>
      <c r="E8" s="8">
        <v>0.39</v>
      </c>
      <c r="F8" s="8">
        <v>0.23</v>
      </c>
      <c r="G8" s="8">
        <v>2.3E-2</v>
      </c>
      <c r="H8" s="8">
        <v>1.51</v>
      </c>
      <c r="I8" s="9">
        <v>16.68</v>
      </c>
      <c r="J8" s="9">
        <v>11.83</v>
      </c>
      <c r="K8" s="9">
        <v>6.74</v>
      </c>
      <c r="L8" s="9">
        <v>7.31</v>
      </c>
      <c r="M8" s="9">
        <v>8.3800000000000008</v>
      </c>
      <c r="N8" s="9">
        <v>5.24</v>
      </c>
      <c r="O8" s="9">
        <v>4.46</v>
      </c>
      <c r="P8" s="8">
        <f t="shared" si="0"/>
        <v>1.3365714285714285</v>
      </c>
      <c r="Q8" s="8">
        <f t="shared" si="1"/>
        <v>8.6628571428571437</v>
      </c>
      <c r="R8" s="8">
        <f t="shared" si="2"/>
        <v>6.4814023086789234</v>
      </c>
      <c r="S8" s="12">
        <f t="shared" si="3"/>
        <v>1.6680469553074684E-3</v>
      </c>
    </row>
    <row r="9" spans="1:19" x14ac:dyDescent="0.5">
      <c r="A9" s="8" t="s">
        <v>35</v>
      </c>
      <c r="B9" s="8">
        <v>0.11</v>
      </c>
      <c r="C9" s="8">
        <v>0.21</v>
      </c>
      <c r="D9" s="8">
        <v>0.04</v>
      </c>
      <c r="E9" s="8">
        <v>0.12</v>
      </c>
      <c r="F9" s="8">
        <v>4.0000000000000001E-3</v>
      </c>
      <c r="G9" s="8">
        <v>0.04</v>
      </c>
      <c r="H9" s="8">
        <v>4.0000000000000001E-3</v>
      </c>
      <c r="I9" s="9">
        <v>0.63</v>
      </c>
      <c r="J9" s="9">
        <v>0.4</v>
      </c>
      <c r="K9" s="9">
        <v>0.34</v>
      </c>
      <c r="L9" s="9">
        <v>0.57999999999999996</v>
      </c>
      <c r="M9" s="9">
        <v>0.13</v>
      </c>
      <c r="N9" s="9">
        <v>0.33</v>
      </c>
      <c r="O9" s="9">
        <v>0.68</v>
      </c>
      <c r="P9" s="8">
        <f t="shared" si="0"/>
        <v>7.5428571428571428E-2</v>
      </c>
      <c r="Q9" s="8">
        <f t="shared" si="1"/>
        <v>0.44142857142857145</v>
      </c>
      <c r="R9" s="8">
        <f t="shared" si="2"/>
        <v>5.8522727272727275</v>
      </c>
      <c r="S9" s="12">
        <f t="shared" si="3"/>
        <v>6.2200466492686466E-4</v>
      </c>
    </row>
    <row r="10" spans="1:19" x14ac:dyDescent="0.5">
      <c r="A10" s="8" t="s">
        <v>36</v>
      </c>
      <c r="B10" s="8">
        <v>412.54</v>
      </c>
      <c r="C10" s="8">
        <v>2103.54</v>
      </c>
      <c r="D10" s="8">
        <v>974.99</v>
      </c>
      <c r="E10" s="8">
        <v>295.5</v>
      </c>
      <c r="F10" s="8">
        <v>636.84</v>
      </c>
      <c r="G10" s="8">
        <v>222.26</v>
      </c>
      <c r="H10" s="8">
        <v>106.7</v>
      </c>
      <c r="I10" s="9">
        <v>6597.23</v>
      </c>
      <c r="J10" s="9">
        <v>4938.22</v>
      </c>
      <c r="K10" s="9">
        <v>964.16</v>
      </c>
      <c r="L10" s="9">
        <v>6506.11</v>
      </c>
      <c r="M10" s="9">
        <v>1490.88</v>
      </c>
      <c r="N10" s="9">
        <v>2693.2</v>
      </c>
      <c r="O10" s="9">
        <v>4283.41</v>
      </c>
      <c r="P10" s="8">
        <f t="shared" si="0"/>
        <v>678.91</v>
      </c>
      <c r="Q10" s="8">
        <f t="shared" si="1"/>
        <v>3924.744285714286</v>
      </c>
      <c r="R10" s="8">
        <f t="shared" si="2"/>
        <v>5.7809492947729249</v>
      </c>
      <c r="S10" s="12">
        <f t="shared" si="3"/>
        <v>3.6097283088841955E-3</v>
      </c>
    </row>
    <row r="11" spans="1:19" x14ac:dyDescent="0.5">
      <c r="A11" s="8" t="s">
        <v>37</v>
      </c>
      <c r="B11" s="8">
        <v>1.49</v>
      </c>
      <c r="C11" s="8">
        <v>25.8</v>
      </c>
      <c r="D11" s="8">
        <v>22.5</v>
      </c>
      <c r="E11" s="8">
        <v>9.2999999999999999E-2</v>
      </c>
      <c r="F11" s="8">
        <v>9.99</v>
      </c>
      <c r="G11" s="8">
        <v>0.93</v>
      </c>
      <c r="H11" s="8">
        <v>2.11</v>
      </c>
      <c r="I11" s="9">
        <v>104.3425</v>
      </c>
      <c r="J11" s="9">
        <v>92.65</v>
      </c>
      <c r="K11" s="9">
        <v>57.85</v>
      </c>
      <c r="L11" s="9">
        <v>41.48</v>
      </c>
      <c r="M11" s="9">
        <v>10.93</v>
      </c>
      <c r="N11" s="9">
        <v>24.36</v>
      </c>
      <c r="O11" s="9">
        <v>7.93</v>
      </c>
      <c r="P11" s="8">
        <f t="shared" si="0"/>
        <v>8.9875714285714299</v>
      </c>
      <c r="Q11" s="8">
        <f t="shared" si="1"/>
        <v>48.506071428571431</v>
      </c>
      <c r="R11" s="8">
        <f t="shared" si="2"/>
        <v>5.3970165148697404</v>
      </c>
      <c r="S11" s="12">
        <f t="shared" si="3"/>
        <v>2.240138157849824E-2</v>
      </c>
    </row>
    <row r="12" spans="1:19" x14ac:dyDescent="0.5">
      <c r="A12" s="8" t="s">
        <v>38</v>
      </c>
      <c r="B12" s="8">
        <v>152.55000000000001</v>
      </c>
      <c r="C12" s="8">
        <v>43.05</v>
      </c>
      <c r="D12" s="8">
        <v>417.97</v>
      </c>
      <c r="E12" s="8">
        <v>71.41</v>
      </c>
      <c r="F12" s="8">
        <v>138.82</v>
      </c>
      <c r="G12" s="8">
        <v>4.3049999999999997</v>
      </c>
      <c r="H12" s="8">
        <v>4.3049999999999997</v>
      </c>
      <c r="I12" s="9">
        <v>206.26</v>
      </c>
      <c r="J12" s="9">
        <v>237.66</v>
      </c>
      <c r="K12" s="9">
        <v>484.8</v>
      </c>
      <c r="L12" s="9">
        <v>577.13</v>
      </c>
      <c r="M12" s="9">
        <v>198.71</v>
      </c>
      <c r="N12" s="9">
        <v>810.19</v>
      </c>
      <c r="O12" s="9">
        <v>1877.60625</v>
      </c>
      <c r="P12" s="8">
        <f t="shared" si="0"/>
        <v>118.91571428571426</v>
      </c>
      <c r="Q12" s="8">
        <f t="shared" si="1"/>
        <v>627.47946428571424</v>
      </c>
      <c r="R12" s="8">
        <f t="shared" si="2"/>
        <v>5.2766740548527773</v>
      </c>
      <c r="S12" s="12">
        <f t="shared" si="3"/>
        <v>4.869592552299596E-2</v>
      </c>
    </row>
    <row r="13" spans="1:19" x14ac:dyDescent="0.5">
      <c r="A13" s="8" t="s">
        <v>39</v>
      </c>
      <c r="B13" s="8">
        <v>177.26</v>
      </c>
      <c r="C13" s="8">
        <v>279.02</v>
      </c>
      <c r="D13" s="8">
        <v>296.33</v>
      </c>
      <c r="E13" s="8">
        <v>8.7959999999999994</v>
      </c>
      <c r="F13" s="8">
        <v>134.58000000000001</v>
      </c>
      <c r="G13" s="8">
        <v>130.66999999999999</v>
      </c>
      <c r="H13" s="8">
        <v>119.85</v>
      </c>
      <c r="I13" s="9">
        <v>975.32624999999996</v>
      </c>
      <c r="J13" s="9">
        <v>824.4</v>
      </c>
      <c r="K13" s="9">
        <v>551.85</v>
      </c>
      <c r="L13" s="9">
        <v>698.08</v>
      </c>
      <c r="M13" s="9">
        <v>975.1</v>
      </c>
      <c r="N13" s="9">
        <v>352.08</v>
      </c>
      <c r="O13" s="9">
        <v>235.97</v>
      </c>
      <c r="P13" s="8">
        <f t="shared" si="0"/>
        <v>163.78657142857142</v>
      </c>
      <c r="Q13" s="8">
        <f t="shared" si="1"/>
        <v>658.97232142857149</v>
      </c>
      <c r="R13" s="8">
        <f t="shared" si="2"/>
        <v>4.0233598864724653</v>
      </c>
      <c r="S13" s="12">
        <f t="shared" si="3"/>
        <v>1.1441863593668106E-3</v>
      </c>
    </row>
    <row r="14" spans="1:19" x14ac:dyDescent="0.5">
      <c r="A14" s="8" t="s">
        <v>40</v>
      </c>
      <c r="B14" s="8">
        <v>50.85</v>
      </c>
      <c r="C14" s="8">
        <v>20.63</v>
      </c>
      <c r="D14" s="8">
        <v>4.62</v>
      </c>
      <c r="E14" s="8">
        <v>2.37</v>
      </c>
      <c r="F14" s="8">
        <v>0.23699999999999999</v>
      </c>
      <c r="G14" s="8">
        <v>0.23699999999999999</v>
      </c>
      <c r="H14" s="8">
        <v>5.33</v>
      </c>
      <c r="I14" s="9">
        <v>81.73</v>
      </c>
      <c r="J14" s="9">
        <v>63.04</v>
      </c>
      <c r="K14" s="9">
        <v>27.48</v>
      </c>
      <c r="L14" s="9">
        <v>39.36</v>
      </c>
      <c r="M14" s="9">
        <v>26.84</v>
      </c>
      <c r="N14" s="9">
        <v>53.34</v>
      </c>
      <c r="O14" s="9">
        <v>31.16</v>
      </c>
      <c r="P14" s="8">
        <f t="shared" si="0"/>
        <v>12.039142857142858</v>
      </c>
      <c r="Q14" s="8">
        <f t="shared" si="1"/>
        <v>46.135714285714293</v>
      </c>
      <c r="R14" s="8">
        <f t="shared" si="2"/>
        <v>3.832142772385315</v>
      </c>
      <c r="S14" s="12">
        <f t="shared" si="3"/>
        <v>7.0683383197058178E-3</v>
      </c>
    </row>
    <row r="15" spans="1:19" x14ac:dyDescent="0.5">
      <c r="A15" s="8" t="s">
        <v>41</v>
      </c>
      <c r="B15" s="8">
        <v>2935.86</v>
      </c>
      <c r="C15" s="8">
        <v>2850.79</v>
      </c>
      <c r="D15" s="8">
        <v>18643.02</v>
      </c>
      <c r="E15" s="8">
        <v>2222.5500000000002</v>
      </c>
      <c r="F15" s="8">
        <v>8880.93</v>
      </c>
      <c r="G15" s="8">
        <v>1807.57</v>
      </c>
      <c r="H15" s="8">
        <v>975.28</v>
      </c>
      <c r="I15" s="9">
        <v>27419.05</v>
      </c>
      <c r="J15" s="9">
        <v>27227.53</v>
      </c>
      <c r="K15" s="9">
        <v>26188.94</v>
      </c>
      <c r="L15" s="9">
        <v>21225.93</v>
      </c>
      <c r="M15" s="9">
        <v>6217.63</v>
      </c>
      <c r="N15" s="9">
        <v>21838.49</v>
      </c>
      <c r="O15" s="9">
        <v>11647.37</v>
      </c>
      <c r="P15" s="8">
        <f t="shared" si="0"/>
        <v>5473.7142857142844</v>
      </c>
      <c r="Q15" s="8">
        <f t="shared" si="1"/>
        <v>20252.134285714292</v>
      </c>
      <c r="R15" s="8">
        <f t="shared" si="2"/>
        <v>3.6998888192922035</v>
      </c>
      <c r="S15" s="12">
        <f t="shared" si="3"/>
        <v>2.7717576117311168E-3</v>
      </c>
    </row>
    <row r="16" spans="1:19" x14ac:dyDescent="0.5">
      <c r="A16" s="8" t="s">
        <v>42</v>
      </c>
      <c r="B16" s="8">
        <v>3.56</v>
      </c>
      <c r="C16" s="8">
        <v>17.440000000000001</v>
      </c>
      <c r="D16" s="8">
        <v>2.94</v>
      </c>
      <c r="E16" s="8">
        <v>5.52</v>
      </c>
      <c r="F16" s="8">
        <v>1.76</v>
      </c>
      <c r="G16" s="8">
        <v>2.0499999999999998</v>
      </c>
      <c r="H16" s="8">
        <v>8.19</v>
      </c>
      <c r="I16" s="9">
        <v>34.39</v>
      </c>
      <c r="J16" s="9">
        <v>19.850000000000001</v>
      </c>
      <c r="K16" s="9">
        <v>16.72</v>
      </c>
      <c r="L16" s="9">
        <v>18.29</v>
      </c>
      <c r="M16" s="9">
        <v>26.42</v>
      </c>
      <c r="N16" s="9">
        <v>17.329999999999998</v>
      </c>
      <c r="O16" s="9">
        <v>17.02</v>
      </c>
      <c r="P16" s="8">
        <f t="shared" si="0"/>
        <v>5.9228571428571426</v>
      </c>
      <c r="Q16" s="8">
        <f t="shared" si="1"/>
        <v>21.431428571428572</v>
      </c>
      <c r="R16" s="8">
        <f t="shared" si="2"/>
        <v>3.6184273999035219</v>
      </c>
      <c r="S16" s="12">
        <f t="shared" si="3"/>
        <v>4.7510497093978605E-4</v>
      </c>
    </row>
    <row r="17" spans="1:19" x14ac:dyDescent="0.5">
      <c r="A17" s="8" t="s">
        <v>43</v>
      </c>
      <c r="B17" s="8">
        <v>1521.49</v>
      </c>
      <c r="C17" s="8">
        <v>1023.82</v>
      </c>
      <c r="D17" s="8">
        <v>834.26</v>
      </c>
      <c r="E17" s="8">
        <v>23.298999999999999</v>
      </c>
      <c r="F17" s="8">
        <v>2415.9299999999998</v>
      </c>
      <c r="G17" s="8">
        <v>23.298999999999999</v>
      </c>
      <c r="H17" s="8">
        <v>232.99</v>
      </c>
      <c r="I17" s="9">
        <v>5064.1187499999996</v>
      </c>
      <c r="J17" s="9">
        <v>3937.69</v>
      </c>
      <c r="K17" s="9">
        <v>2747.89</v>
      </c>
      <c r="L17" s="9">
        <v>2910.32</v>
      </c>
      <c r="M17" s="9">
        <v>2448.81</v>
      </c>
      <c r="N17" s="9">
        <v>2391.42</v>
      </c>
      <c r="O17" s="9">
        <v>1895.86</v>
      </c>
      <c r="P17" s="8">
        <f t="shared" si="0"/>
        <v>867.86971428571417</v>
      </c>
      <c r="Q17" s="8">
        <f t="shared" si="1"/>
        <v>3056.5869642857142</v>
      </c>
      <c r="R17" s="8">
        <f t="shared" si="2"/>
        <v>3.5219421924423155</v>
      </c>
      <c r="S17" s="12">
        <f t="shared" si="3"/>
        <v>1.3804424538217651E-3</v>
      </c>
    </row>
    <row r="18" spans="1:19" x14ac:dyDescent="0.5">
      <c r="A18" s="8" t="s">
        <v>44</v>
      </c>
      <c r="B18" s="8">
        <v>3.98</v>
      </c>
      <c r="C18" s="8">
        <v>3.96</v>
      </c>
      <c r="D18" s="8">
        <v>0.11</v>
      </c>
      <c r="E18" s="8">
        <v>1.0999999999999999E-2</v>
      </c>
      <c r="F18" s="8">
        <v>1.0999999999999999E-2</v>
      </c>
      <c r="G18" s="8">
        <v>0.78</v>
      </c>
      <c r="H18" s="8">
        <v>0.33</v>
      </c>
      <c r="I18" s="9">
        <v>10.975</v>
      </c>
      <c r="J18" s="9">
        <v>5.79</v>
      </c>
      <c r="K18" s="9">
        <v>1.0999999999999999E-2</v>
      </c>
      <c r="L18" s="9">
        <v>0.42</v>
      </c>
      <c r="M18" s="9">
        <v>3.71</v>
      </c>
      <c r="N18" s="9">
        <v>10.975</v>
      </c>
      <c r="O18" s="9">
        <v>1.0999999999999999E-2</v>
      </c>
      <c r="P18" s="8">
        <f t="shared" si="0"/>
        <v>1.3117142857142852</v>
      </c>
      <c r="Q18" s="8">
        <f t="shared" si="1"/>
        <v>4.556</v>
      </c>
      <c r="R18" s="8">
        <f t="shared" si="2"/>
        <v>3.4733173600522775</v>
      </c>
      <c r="S18" s="12">
        <f t="shared" si="3"/>
        <v>0.1257969947558886</v>
      </c>
    </row>
    <row r="19" spans="1:19" x14ac:dyDescent="0.5">
      <c r="A19" s="8" t="s">
        <v>45</v>
      </c>
      <c r="B19" s="8">
        <v>388.2</v>
      </c>
      <c r="C19" s="8">
        <v>484.88</v>
      </c>
      <c r="D19" s="8">
        <v>240.91</v>
      </c>
      <c r="E19" s="8">
        <v>179.3</v>
      </c>
      <c r="F19" s="8">
        <v>145.94999999999999</v>
      </c>
      <c r="G19" s="8">
        <v>8.2899999999999991</v>
      </c>
      <c r="H19" s="8">
        <v>82.9</v>
      </c>
      <c r="I19" s="9">
        <v>1319.76</v>
      </c>
      <c r="J19" s="9">
        <v>1004.68</v>
      </c>
      <c r="K19" s="9">
        <v>668.29</v>
      </c>
      <c r="L19" s="9">
        <v>731.29</v>
      </c>
      <c r="M19" s="9">
        <v>665.88</v>
      </c>
      <c r="N19" s="9">
        <v>617.01</v>
      </c>
      <c r="O19" s="9">
        <v>241.79</v>
      </c>
      <c r="P19" s="8">
        <f t="shared" si="0"/>
        <v>218.63285714285715</v>
      </c>
      <c r="Q19" s="8">
        <f t="shared" si="1"/>
        <v>749.81428571428569</v>
      </c>
      <c r="R19" s="8">
        <f t="shared" si="2"/>
        <v>3.4295590128264601</v>
      </c>
      <c r="S19" s="12">
        <f t="shared" si="3"/>
        <v>2.8444851831687214E-3</v>
      </c>
    </row>
    <row r="20" spans="1:19" x14ac:dyDescent="0.5">
      <c r="A20" s="8" t="s">
        <v>46</v>
      </c>
      <c r="B20" s="8">
        <v>19.399999999999999</v>
      </c>
      <c r="C20" s="8">
        <v>14.39</v>
      </c>
      <c r="D20" s="8">
        <v>9.86</v>
      </c>
      <c r="E20" s="8">
        <v>4.88</v>
      </c>
      <c r="F20" s="8">
        <v>9.91</v>
      </c>
      <c r="G20" s="8">
        <v>4.5599999999999996</v>
      </c>
      <c r="H20" s="8">
        <v>5.26</v>
      </c>
      <c r="I20" s="9">
        <v>33.770000000000003</v>
      </c>
      <c r="J20" s="9">
        <v>26.2</v>
      </c>
      <c r="K20" s="9">
        <v>19.55</v>
      </c>
      <c r="L20" s="9">
        <v>41.18</v>
      </c>
      <c r="M20" s="9">
        <v>66.459999999999994</v>
      </c>
      <c r="N20" s="9">
        <v>26.11</v>
      </c>
      <c r="O20" s="9">
        <v>20.25</v>
      </c>
      <c r="P20" s="8">
        <f t="shared" si="0"/>
        <v>9.7514285714285727</v>
      </c>
      <c r="Q20" s="8">
        <f t="shared" si="1"/>
        <v>33.36</v>
      </c>
      <c r="R20" s="8">
        <f t="shared" si="2"/>
        <v>3.4210372106651037</v>
      </c>
      <c r="S20" s="12">
        <f t="shared" si="3"/>
        <v>3.6631037811975208E-3</v>
      </c>
    </row>
    <row r="21" spans="1:19" x14ac:dyDescent="0.5">
      <c r="A21" s="8" t="s">
        <v>47</v>
      </c>
      <c r="B21" s="8">
        <v>168.27</v>
      </c>
      <c r="C21" s="8">
        <v>202.64</v>
      </c>
      <c r="D21" s="8">
        <v>37.78</v>
      </c>
      <c r="E21" s="8">
        <v>31.58</v>
      </c>
      <c r="F21" s="8">
        <v>20.149999999999999</v>
      </c>
      <c r="G21" s="8">
        <v>19.37</v>
      </c>
      <c r="H21" s="8">
        <v>62.57</v>
      </c>
      <c r="I21" s="9">
        <v>362.56</v>
      </c>
      <c r="J21" s="9">
        <v>377.47</v>
      </c>
      <c r="K21" s="9">
        <v>143.69</v>
      </c>
      <c r="L21" s="9">
        <v>203.44</v>
      </c>
      <c r="M21" s="9">
        <v>148.6</v>
      </c>
      <c r="N21" s="9">
        <v>348.85</v>
      </c>
      <c r="O21" s="9">
        <v>119.29</v>
      </c>
      <c r="P21" s="8">
        <f t="shared" si="0"/>
        <v>77.47999999999999</v>
      </c>
      <c r="Q21" s="8">
        <f t="shared" si="1"/>
        <v>243.41428571428574</v>
      </c>
      <c r="R21" s="8">
        <f t="shared" si="2"/>
        <v>3.1416402389556759</v>
      </c>
      <c r="S21" s="12">
        <f t="shared" si="3"/>
        <v>7.7870686526948073E-3</v>
      </c>
    </row>
    <row r="22" spans="1:19" x14ac:dyDescent="0.5">
      <c r="A22" s="8" t="s">
        <v>48</v>
      </c>
      <c r="B22" s="8">
        <v>16.329999999999998</v>
      </c>
      <c r="C22" s="8">
        <v>19.45</v>
      </c>
      <c r="D22" s="8">
        <v>7.08</v>
      </c>
      <c r="E22" s="8">
        <v>67.84</v>
      </c>
      <c r="F22" s="8">
        <v>3.72</v>
      </c>
      <c r="G22" s="8">
        <v>1.69</v>
      </c>
      <c r="H22" s="8">
        <v>9.0299999999999994</v>
      </c>
      <c r="I22" s="9">
        <v>92.58</v>
      </c>
      <c r="J22" s="9">
        <v>44.5</v>
      </c>
      <c r="K22" s="9">
        <v>31.34</v>
      </c>
      <c r="L22" s="9">
        <v>64.27</v>
      </c>
      <c r="M22" s="9">
        <v>85.03</v>
      </c>
      <c r="N22" s="9">
        <v>41.18</v>
      </c>
      <c r="O22" s="9">
        <v>30.97</v>
      </c>
      <c r="P22" s="8">
        <f t="shared" si="0"/>
        <v>17.877142857142857</v>
      </c>
      <c r="Q22" s="8">
        <f t="shared" si="1"/>
        <v>55.695714285714288</v>
      </c>
      <c r="R22" s="8">
        <f t="shared" si="2"/>
        <v>3.1154706728464121</v>
      </c>
      <c r="S22" s="12">
        <f t="shared" si="3"/>
        <v>1.2586013954886056E-2</v>
      </c>
    </row>
    <row r="23" spans="1:19" x14ac:dyDescent="0.5">
      <c r="A23" s="8" t="s">
        <v>49</v>
      </c>
      <c r="B23" s="8">
        <v>5.0199999999999996</v>
      </c>
      <c r="C23" s="8">
        <v>12.65</v>
      </c>
      <c r="D23" s="8">
        <v>0.61</v>
      </c>
      <c r="E23" s="8">
        <v>1.41</v>
      </c>
      <c r="F23" s="8">
        <v>0.7</v>
      </c>
      <c r="G23" s="8">
        <v>1</v>
      </c>
      <c r="H23" s="8">
        <v>1.94</v>
      </c>
      <c r="I23" s="9">
        <v>19.6175</v>
      </c>
      <c r="J23" s="9">
        <v>19.6175</v>
      </c>
      <c r="K23" s="9">
        <v>4.45</v>
      </c>
      <c r="L23" s="9">
        <v>4.21</v>
      </c>
      <c r="M23" s="9">
        <v>9.69</v>
      </c>
      <c r="N23" s="9">
        <v>6.15</v>
      </c>
      <c r="O23" s="9">
        <v>6.15</v>
      </c>
      <c r="P23" s="8">
        <f t="shared" si="0"/>
        <v>3.3328571428571432</v>
      </c>
      <c r="Q23" s="8">
        <f t="shared" si="1"/>
        <v>9.9835714285714285</v>
      </c>
      <c r="R23" s="8">
        <f t="shared" si="2"/>
        <v>2.9954993570510071</v>
      </c>
      <c r="S23" s="12">
        <f t="shared" si="3"/>
        <v>5.070042422650025E-2</v>
      </c>
    </row>
    <row r="24" spans="1:19" x14ac:dyDescent="0.5">
      <c r="A24" s="8" t="s">
        <v>50</v>
      </c>
      <c r="B24" s="8">
        <v>0.81</v>
      </c>
      <c r="C24" s="8">
        <v>1.74</v>
      </c>
      <c r="D24" s="8">
        <v>0.91</v>
      </c>
      <c r="E24" s="8">
        <v>1.21</v>
      </c>
      <c r="F24" s="8">
        <v>0.3</v>
      </c>
      <c r="G24" s="8">
        <v>0.46</v>
      </c>
      <c r="H24" s="8">
        <v>0.47</v>
      </c>
      <c r="I24" s="9">
        <v>4.4325000000000001</v>
      </c>
      <c r="J24" s="9">
        <v>2.75</v>
      </c>
      <c r="K24" s="9">
        <v>1.28</v>
      </c>
      <c r="L24" s="9">
        <v>1.89</v>
      </c>
      <c r="M24" s="9">
        <v>4.3600000000000003</v>
      </c>
      <c r="N24" s="9">
        <v>1.1000000000000001</v>
      </c>
      <c r="O24" s="9">
        <v>1.67</v>
      </c>
      <c r="P24" s="8">
        <f t="shared" si="0"/>
        <v>0.84285714285714275</v>
      </c>
      <c r="Q24" s="8">
        <f t="shared" si="1"/>
        <v>2.4975000000000001</v>
      </c>
      <c r="R24" s="8">
        <f t="shared" si="2"/>
        <v>2.9631355932203394</v>
      </c>
      <c r="S24" s="12">
        <f t="shared" si="3"/>
        <v>1.2341864731764371E-2</v>
      </c>
    </row>
    <row r="25" spans="1:19" x14ac:dyDescent="0.5">
      <c r="A25" s="8" t="s">
        <v>51</v>
      </c>
      <c r="B25" s="8">
        <v>851.31</v>
      </c>
      <c r="C25" s="8">
        <v>547.98</v>
      </c>
      <c r="D25" s="8">
        <v>793.82</v>
      </c>
      <c r="E25" s="8">
        <v>783.32</v>
      </c>
      <c r="F25" s="8">
        <v>872.65</v>
      </c>
      <c r="G25" s="8">
        <v>758.79</v>
      </c>
      <c r="H25" s="8">
        <v>836.87</v>
      </c>
      <c r="I25" s="9">
        <v>1882.09</v>
      </c>
      <c r="J25" s="9">
        <v>2358.1999999999998</v>
      </c>
      <c r="K25" s="9">
        <v>2379.48</v>
      </c>
      <c r="L25" s="9">
        <v>2395.19</v>
      </c>
      <c r="M25" s="9">
        <v>2360.5700000000002</v>
      </c>
      <c r="N25" s="9">
        <v>2431.12</v>
      </c>
      <c r="O25" s="9">
        <v>1635.76</v>
      </c>
      <c r="P25" s="8">
        <f t="shared" si="0"/>
        <v>777.82</v>
      </c>
      <c r="Q25" s="8">
        <f t="shared" si="1"/>
        <v>2206.0585714285717</v>
      </c>
      <c r="R25" s="8">
        <f t="shared" si="2"/>
        <v>2.836207054882327</v>
      </c>
      <c r="S25" s="12">
        <f t="shared" si="3"/>
        <v>8.9723240397693535E-8</v>
      </c>
    </row>
    <row r="26" spans="1:19" x14ac:dyDescent="0.5">
      <c r="A26" s="8" t="s">
        <v>52</v>
      </c>
      <c r="B26" s="8">
        <v>576.26</v>
      </c>
      <c r="C26" s="8">
        <v>512.57000000000005</v>
      </c>
      <c r="D26" s="8">
        <v>427.11</v>
      </c>
      <c r="E26" s="8">
        <v>639.04</v>
      </c>
      <c r="F26" s="8">
        <v>190.68</v>
      </c>
      <c r="G26" s="8">
        <v>84.73</v>
      </c>
      <c r="H26" s="8">
        <v>240.11</v>
      </c>
      <c r="I26" s="9">
        <v>581.78</v>
      </c>
      <c r="J26" s="9">
        <v>574.88</v>
      </c>
      <c r="K26" s="9">
        <v>711.3</v>
      </c>
      <c r="L26" s="9">
        <v>793.64</v>
      </c>
      <c r="M26" s="9">
        <v>2259.64</v>
      </c>
      <c r="N26" s="9">
        <v>2442.1925000000001</v>
      </c>
      <c r="O26" s="9">
        <v>196.18</v>
      </c>
      <c r="P26" s="8">
        <f t="shared" si="0"/>
        <v>381.5</v>
      </c>
      <c r="Q26" s="8">
        <f t="shared" si="1"/>
        <v>1079.944642857143</v>
      </c>
      <c r="R26" s="8">
        <f t="shared" si="2"/>
        <v>2.8307854334394311</v>
      </c>
      <c r="S26" s="12">
        <f t="shared" si="3"/>
        <v>6.6198698922875526E-2</v>
      </c>
    </row>
    <row r="27" spans="1:19" x14ac:dyDescent="0.5">
      <c r="A27" s="8" t="s">
        <v>53</v>
      </c>
      <c r="B27" s="8">
        <v>866.33</v>
      </c>
      <c r="C27" s="8">
        <v>1163.2</v>
      </c>
      <c r="D27" s="8">
        <v>317.33</v>
      </c>
      <c r="E27" s="8">
        <v>448.59</v>
      </c>
      <c r="F27" s="8">
        <v>253.01</v>
      </c>
      <c r="G27" s="8">
        <v>348.61</v>
      </c>
      <c r="H27" s="8">
        <v>356.12</v>
      </c>
      <c r="I27" s="9">
        <v>1664.19</v>
      </c>
      <c r="J27" s="9">
        <v>2583.7562499999999</v>
      </c>
      <c r="K27" s="9">
        <v>1138.53</v>
      </c>
      <c r="L27" s="9">
        <v>1123.3800000000001</v>
      </c>
      <c r="M27" s="9">
        <v>1449.92</v>
      </c>
      <c r="N27" s="9">
        <v>1758.59</v>
      </c>
      <c r="O27" s="9">
        <v>833.94</v>
      </c>
      <c r="P27" s="8">
        <f t="shared" si="0"/>
        <v>536.16999999999996</v>
      </c>
      <c r="Q27" s="8">
        <f t="shared" si="1"/>
        <v>1507.4723214285714</v>
      </c>
      <c r="R27" s="8">
        <f t="shared" si="2"/>
        <v>2.8115566358217943</v>
      </c>
      <c r="S27" s="12">
        <f t="shared" si="3"/>
        <v>2.3675892904061547E-3</v>
      </c>
    </row>
    <row r="28" spans="1:19" x14ac:dyDescent="0.5">
      <c r="A28" s="8" t="s">
        <v>54</v>
      </c>
      <c r="B28" s="8">
        <v>10231.36</v>
      </c>
      <c r="C28" s="8">
        <v>13752.5</v>
      </c>
      <c r="D28" s="8">
        <v>10220.23</v>
      </c>
      <c r="E28" s="8">
        <v>7105.81</v>
      </c>
      <c r="F28" s="8">
        <v>3546.16</v>
      </c>
      <c r="G28" s="8">
        <v>5340.5</v>
      </c>
      <c r="H28" s="8">
        <v>234.364</v>
      </c>
      <c r="I28" s="9">
        <v>31285.52</v>
      </c>
      <c r="J28" s="9">
        <v>22373.5</v>
      </c>
      <c r="K28" s="9">
        <v>19420.22</v>
      </c>
      <c r="L28" s="9">
        <v>20376.89</v>
      </c>
      <c r="M28" s="9">
        <v>21175.53</v>
      </c>
      <c r="N28" s="9">
        <v>18489.689999999999</v>
      </c>
      <c r="O28" s="9">
        <v>8575.91</v>
      </c>
      <c r="P28" s="8">
        <f t="shared" si="0"/>
        <v>7204.4177142857143</v>
      </c>
      <c r="Q28" s="8">
        <f t="shared" si="1"/>
        <v>20242.465714285714</v>
      </c>
      <c r="R28" s="8">
        <f t="shared" si="2"/>
        <v>2.8097296016230042</v>
      </c>
      <c r="S28" s="12">
        <f t="shared" si="3"/>
        <v>1.1117700857412401E-3</v>
      </c>
    </row>
    <row r="29" spans="1:19" x14ac:dyDescent="0.5">
      <c r="A29" s="8" t="s">
        <v>55</v>
      </c>
      <c r="B29" s="8">
        <v>4.9779999999999998</v>
      </c>
      <c r="C29" s="8">
        <v>537.94000000000005</v>
      </c>
      <c r="D29" s="8">
        <v>272.10000000000002</v>
      </c>
      <c r="E29" s="8">
        <v>4.9779999999999998</v>
      </c>
      <c r="F29" s="8">
        <v>4.9779999999999998</v>
      </c>
      <c r="G29" s="8">
        <v>135.51</v>
      </c>
      <c r="H29" s="8">
        <v>84.61</v>
      </c>
      <c r="I29" s="9">
        <v>953.81500000000005</v>
      </c>
      <c r="J29" s="9">
        <v>898.67</v>
      </c>
      <c r="K29" s="9">
        <v>306.26</v>
      </c>
      <c r="L29" s="9">
        <v>177.11</v>
      </c>
      <c r="M29" s="9">
        <v>110.07</v>
      </c>
      <c r="N29" s="9">
        <v>82.03</v>
      </c>
      <c r="O29" s="9">
        <v>49.78</v>
      </c>
      <c r="P29" s="8">
        <f t="shared" si="0"/>
        <v>149.29914285714284</v>
      </c>
      <c r="Q29" s="8">
        <f t="shared" si="1"/>
        <v>368.24785714285724</v>
      </c>
      <c r="R29" s="8">
        <f t="shared" si="2"/>
        <v>2.4665101895140542</v>
      </c>
      <c r="S29" s="12">
        <f t="shared" si="3"/>
        <v>0.20998813576911546</v>
      </c>
    </row>
    <row r="30" spans="1:19" x14ac:dyDescent="0.5">
      <c r="A30" s="8" t="s">
        <v>56</v>
      </c>
      <c r="B30" s="8">
        <v>3007.92</v>
      </c>
      <c r="C30" s="8">
        <v>2393.98</v>
      </c>
      <c r="D30" s="8">
        <v>2361.1</v>
      </c>
      <c r="E30" s="8">
        <v>2391.2800000000002</v>
      </c>
      <c r="F30" s="8">
        <v>62.82</v>
      </c>
      <c r="G30" s="8">
        <v>675.63</v>
      </c>
      <c r="H30" s="8">
        <v>1500.81</v>
      </c>
      <c r="I30" s="9">
        <v>5816.45</v>
      </c>
      <c r="J30" s="9">
        <v>6169.90625</v>
      </c>
      <c r="K30" s="9">
        <v>3624.36</v>
      </c>
      <c r="L30" s="9">
        <v>4209.2299999999996</v>
      </c>
      <c r="M30" s="9">
        <v>2869.8</v>
      </c>
      <c r="N30" s="9">
        <v>4708.42</v>
      </c>
      <c r="O30" s="9">
        <v>2781.89</v>
      </c>
      <c r="P30" s="8">
        <f t="shared" si="0"/>
        <v>1770.5057142857142</v>
      </c>
      <c r="Q30" s="8">
        <f t="shared" si="1"/>
        <v>4311.4366071428576</v>
      </c>
      <c r="R30" s="8">
        <f t="shared" si="2"/>
        <v>2.4351441355738559</v>
      </c>
      <c r="S30" s="12">
        <f t="shared" si="3"/>
        <v>2.023700066452804E-3</v>
      </c>
    </row>
    <row r="31" spans="1:19" x14ac:dyDescent="0.5">
      <c r="A31" s="8" t="s">
        <v>57</v>
      </c>
      <c r="B31" s="8">
        <v>1.29</v>
      </c>
      <c r="C31" s="8">
        <v>6.67</v>
      </c>
      <c r="D31" s="8">
        <v>0.35</v>
      </c>
      <c r="E31" s="8">
        <v>12.92</v>
      </c>
      <c r="F31" s="8">
        <v>1.37</v>
      </c>
      <c r="G31" s="8">
        <v>0.88</v>
      </c>
      <c r="H31" s="8">
        <v>1.07</v>
      </c>
      <c r="I31" s="9">
        <v>13.24</v>
      </c>
      <c r="J31" s="9">
        <v>7.77</v>
      </c>
      <c r="K31" s="9">
        <v>5.3</v>
      </c>
      <c r="L31" s="9">
        <v>7.12</v>
      </c>
      <c r="M31" s="9">
        <v>13.313750000000001</v>
      </c>
      <c r="N31" s="9">
        <v>7.53</v>
      </c>
      <c r="O31" s="9">
        <v>5.21</v>
      </c>
      <c r="P31" s="8">
        <f t="shared" si="0"/>
        <v>3.5071428571428571</v>
      </c>
      <c r="Q31" s="8">
        <f t="shared" si="1"/>
        <v>8.4976785714285707</v>
      </c>
      <c r="R31" s="8">
        <f t="shared" si="2"/>
        <v>2.4229633401221995</v>
      </c>
      <c r="S31" s="12">
        <f t="shared" si="3"/>
        <v>4.1575250357720292E-2</v>
      </c>
    </row>
    <row r="32" spans="1:19" x14ac:dyDescent="0.5">
      <c r="A32" s="8" t="s">
        <v>58</v>
      </c>
      <c r="B32" s="8">
        <v>78.91</v>
      </c>
      <c r="C32" s="8">
        <v>64.63</v>
      </c>
      <c r="D32" s="8">
        <v>35.700000000000003</v>
      </c>
      <c r="E32" s="8">
        <v>45.22</v>
      </c>
      <c r="F32" s="8">
        <v>24.69</v>
      </c>
      <c r="G32" s="8">
        <v>36.299999999999997</v>
      </c>
      <c r="H32" s="8">
        <v>52.8</v>
      </c>
      <c r="I32" s="9">
        <v>234.93</v>
      </c>
      <c r="J32" s="9">
        <v>130.33000000000001</v>
      </c>
      <c r="K32" s="9">
        <v>34.99</v>
      </c>
      <c r="L32" s="9">
        <v>71.709999999999994</v>
      </c>
      <c r="M32" s="9">
        <v>119.72</v>
      </c>
      <c r="N32" s="9">
        <v>105.15</v>
      </c>
      <c r="O32" s="9">
        <v>72.819999999999993</v>
      </c>
      <c r="P32" s="8">
        <f t="shared" si="0"/>
        <v>48.321428571428569</v>
      </c>
      <c r="Q32" s="8">
        <f t="shared" si="1"/>
        <v>109.94999999999997</v>
      </c>
      <c r="R32" s="8">
        <f t="shared" si="2"/>
        <v>2.2753880266075384</v>
      </c>
      <c r="S32" s="12">
        <f t="shared" si="3"/>
        <v>3.0933890737939309E-2</v>
      </c>
    </row>
    <row r="33" spans="1:19" x14ac:dyDescent="0.5">
      <c r="A33" s="11" t="s">
        <v>59</v>
      </c>
      <c r="B33" s="11">
        <v>64089.45</v>
      </c>
      <c r="C33" s="11">
        <v>66602.350000000006</v>
      </c>
      <c r="D33" s="11">
        <v>56988.81</v>
      </c>
      <c r="E33" s="11">
        <v>60697.39</v>
      </c>
      <c r="F33" s="11">
        <v>61783.93</v>
      </c>
      <c r="G33" s="11">
        <v>43942.8</v>
      </c>
      <c r="H33" s="11">
        <v>68532.88</v>
      </c>
      <c r="I33" s="11">
        <v>99256.8</v>
      </c>
      <c r="J33" s="11">
        <v>146904.4</v>
      </c>
      <c r="K33" s="11">
        <v>168186.84</v>
      </c>
      <c r="L33" s="11">
        <v>132145.76</v>
      </c>
      <c r="M33" s="11">
        <v>135974.19</v>
      </c>
      <c r="N33" s="11">
        <v>135543.47</v>
      </c>
      <c r="O33" s="11">
        <v>141565.51</v>
      </c>
      <c r="P33" s="8">
        <f t="shared" si="0"/>
        <v>60376.801428571423</v>
      </c>
      <c r="Q33" s="8">
        <f t="shared" si="1"/>
        <v>137082.42428571428</v>
      </c>
      <c r="R33" s="8">
        <f t="shared" si="2"/>
        <v>2.2704486001612589</v>
      </c>
      <c r="S33" s="12">
        <f t="shared" si="3"/>
        <v>9.1677651222380292E-7</v>
      </c>
    </row>
    <row r="34" spans="1:19" x14ac:dyDescent="0.5">
      <c r="A34" s="8" t="s">
        <v>60</v>
      </c>
      <c r="B34" s="8">
        <v>15.032</v>
      </c>
      <c r="C34" s="8">
        <v>162.88999999999999</v>
      </c>
      <c r="D34" s="8">
        <v>396.3</v>
      </c>
      <c r="E34" s="8">
        <v>299.10000000000002</v>
      </c>
      <c r="F34" s="8">
        <v>197.36</v>
      </c>
      <c r="G34" s="8">
        <v>186.02</v>
      </c>
      <c r="H34" s="8">
        <v>15.032</v>
      </c>
      <c r="I34" s="9">
        <v>270.16000000000003</v>
      </c>
      <c r="J34" s="9">
        <v>261.27</v>
      </c>
      <c r="K34" s="9">
        <v>301.35000000000002</v>
      </c>
      <c r="L34" s="9">
        <v>332.5</v>
      </c>
      <c r="M34" s="9">
        <v>150.32</v>
      </c>
      <c r="N34" s="9">
        <v>907.17</v>
      </c>
      <c r="O34" s="9">
        <v>644.75</v>
      </c>
      <c r="P34" s="8">
        <f t="shared" ref="P34:P65" si="4">AVERAGE(B34:H34)</f>
        <v>181.67628571428571</v>
      </c>
      <c r="Q34" s="8">
        <f t="shared" ref="Q34:Q65" si="5">AVERAGE(I34:O34)</f>
        <v>409.64571428571429</v>
      </c>
      <c r="R34" s="8">
        <f t="shared" ref="R34:R65" si="6">Q34/P34</f>
        <v>2.2548111476142023</v>
      </c>
      <c r="S34" s="12">
        <f t="shared" ref="S34:S65" si="7">_xlfn.T.TEST(B34:H34,I34:O34,2,2)</f>
        <v>6.8551221417390187E-2</v>
      </c>
    </row>
    <row r="35" spans="1:19" x14ac:dyDescent="0.5">
      <c r="A35" s="8" t="s">
        <v>61</v>
      </c>
      <c r="B35" s="8">
        <v>16807.18</v>
      </c>
      <c r="C35" s="8">
        <v>14549.52</v>
      </c>
      <c r="D35" s="8">
        <v>21030.85</v>
      </c>
      <c r="E35" s="8">
        <v>17160.060000000001</v>
      </c>
      <c r="F35" s="8">
        <v>22648.23</v>
      </c>
      <c r="G35" s="8">
        <v>12303.62</v>
      </c>
      <c r="H35" s="8">
        <v>3834.17</v>
      </c>
      <c r="I35" s="9">
        <v>30437.82</v>
      </c>
      <c r="J35" s="9">
        <v>36639.79</v>
      </c>
      <c r="K35" s="9">
        <v>34935.74</v>
      </c>
      <c r="L35" s="9">
        <v>41696.69</v>
      </c>
      <c r="M35" s="9">
        <v>24563.11</v>
      </c>
      <c r="N35" s="9">
        <v>37235.17</v>
      </c>
      <c r="O35" s="9">
        <v>33551.339999999997</v>
      </c>
      <c r="P35" s="8">
        <f t="shared" si="4"/>
        <v>15476.232857142855</v>
      </c>
      <c r="Q35" s="8">
        <f t="shared" si="5"/>
        <v>34151.379999999997</v>
      </c>
      <c r="R35" s="8">
        <f t="shared" si="6"/>
        <v>2.2066985108871551</v>
      </c>
      <c r="S35" s="12">
        <f t="shared" si="7"/>
        <v>6.6350413385995695E-5</v>
      </c>
    </row>
    <row r="36" spans="1:19" x14ac:dyDescent="0.5">
      <c r="A36" s="8" t="s">
        <v>62</v>
      </c>
      <c r="B36" s="8">
        <v>430.47</v>
      </c>
      <c r="C36" s="8">
        <v>148.34</v>
      </c>
      <c r="D36" s="8">
        <v>161.85</v>
      </c>
      <c r="E36" s="8">
        <v>4.9359999999999999</v>
      </c>
      <c r="F36" s="8">
        <v>4.9359999999999999</v>
      </c>
      <c r="G36" s="8">
        <v>4.9359999999999999</v>
      </c>
      <c r="H36" s="8">
        <v>4.9359999999999999</v>
      </c>
      <c r="I36" s="9">
        <v>526.90374999999995</v>
      </c>
      <c r="J36" s="9">
        <v>410.86</v>
      </c>
      <c r="K36" s="9">
        <v>102.61</v>
      </c>
      <c r="L36" s="9">
        <v>161.87</v>
      </c>
      <c r="M36" s="9">
        <v>215.61</v>
      </c>
      <c r="N36" s="9">
        <v>151.57</v>
      </c>
      <c r="O36" s="9">
        <v>98.96</v>
      </c>
      <c r="P36" s="8">
        <f t="shared" si="4"/>
        <v>108.6291428571429</v>
      </c>
      <c r="Q36" s="8">
        <f t="shared" si="5"/>
        <v>238.34053571428575</v>
      </c>
      <c r="R36" s="8">
        <f t="shared" si="6"/>
        <v>2.1940754519965697</v>
      </c>
      <c r="S36" s="12">
        <f t="shared" si="7"/>
        <v>0.16049889134069556</v>
      </c>
    </row>
    <row r="37" spans="1:19" x14ac:dyDescent="0.5">
      <c r="A37" s="8" t="s">
        <v>63</v>
      </c>
      <c r="B37" s="8">
        <v>6.36</v>
      </c>
      <c r="C37" s="8">
        <v>10.06</v>
      </c>
      <c r="D37" s="8">
        <v>4.13</v>
      </c>
      <c r="E37" s="8">
        <v>6.71</v>
      </c>
      <c r="F37" s="8">
        <v>2.72</v>
      </c>
      <c r="G37" s="8">
        <v>1.82</v>
      </c>
      <c r="H37" s="8">
        <v>3.21</v>
      </c>
      <c r="I37" s="9">
        <v>17.57</v>
      </c>
      <c r="J37" s="9">
        <v>12.76</v>
      </c>
      <c r="K37" s="9">
        <v>7.51</v>
      </c>
      <c r="L37" s="9">
        <v>12.44</v>
      </c>
      <c r="M37" s="9">
        <v>12.26</v>
      </c>
      <c r="N37" s="9">
        <v>7.71</v>
      </c>
      <c r="O37" s="9">
        <v>6.21</v>
      </c>
      <c r="P37" s="8">
        <f t="shared" si="4"/>
        <v>5.0014285714285709</v>
      </c>
      <c r="Q37" s="8">
        <f t="shared" si="5"/>
        <v>10.92285714285714</v>
      </c>
      <c r="R37" s="8">
        <f t="shared" si="6"/>
        <v>2.1839474435875461</v>
      </c>
      <c r="S37" s="12">
        <f t="shared" si="7"/>
        <v>7.8971917357761861E-3</v>
      </c>
    </row>
    <row r="38" spans="1:19" x14ac:dyDescent="0.5">
      <c r="A38" s="8" t="s">
        <v>64</v>
      </c>
      <c r="B38" s="8">
        <v>1.8520000000000001</v>
      </c>
      <c r="C38" s="8">
        <v>44.52</v>
      </c>
      <c r="D38" s="8">
        <v>70.44</v>
      </c>
      <c r="E38" s="8">
        <v>1.8520000000000001</v>
      </c>
      <c r="F38" s="8">
        <v>297.81375000000003</v>
      </c>
      <c r="G38" s="8">
        <v>1.8520000000000001</v>
      </c>
      <c r="H38" s="8">
        <v>18.52</v>
      </c>
      <c r="I38" s="9">
        <v>297.81375000000003</v>
      </c>
      <c r="J38" s="9">
        <v>185.73</v>
      </c>
      <c r="K38" s="9">
        <v>96.28</v>
      </c>
      <c r="L38" s="9">
        <v>113.26</v>
      </c>
      <c r="M38" s="9">
        <v>127.34</v>
      </c>
      <c r="N38" s="9">
        <v>107.34</v>
      </c>
      <c r="O38" s="9">
        <v>1.8520000000000001</v>
      </c>
      <c r="P38" s="8">
        <f t="shared" si="4"/>
        <v>62.407107142857136</v>
      </c>
      <c r="Q38" s="8">
        <f t="shared" si="5"/>
        <v>132.80225000000002</v>
      </c>
      <c r="R38" s="8">
        <f t="shared" si="6"/>
        <v>2.1279988142376189</v>
      </c>
      <c r="S38" s="12">
        <f t="shared" si="7"/>
        <v>0.20939685743092487</v>
      </c>
    </row>
    <row r="39" spans="1:19" x14ac:dyDescent="0.5">
      <c r="A39" s="8" t="s">
        <v>65</v>
      </c>
      <c r="B39" s="8">
        <v>265.79000000000002</v>
      </c>
      <c r="C39" s="8">
        <v>293.72000000000003</v>
      </c>
      <c r="D39" s="8">
        <v>449.66</v>
      </c>
      <c r="E39" s="8">
        <v>683.35</v>
      </c>
      <c r="F39" s="8">
        <v>297.66000000000003</v>
      </c>
      <c r="G39" s="8">
        <v>176.61</v>
      </c>
      <c r="H39" s="8">
        <v>185.5</v>
      </c>
      <c r="I39" s="9">
        <v>1369.1775</v>
      </c>
      <c r="J39" s="9">
        <v>945.04</v>
      </c>
      <c r="K39" s="9">
        <v>438.77</v>
      </c>
      <c r="L39" s="9">
        <v>679.79</v>
      </c>
      <c r="M39" s="9">
        <v>448.28</v>
      </c>
      <c r="N39" s="9">
        <v>590.80999999999995</v>
      </c>
      <c r="O39" s="9">
        <v>518.28</v>
      </c>
      <c r="P39" s="8">
        <f t="shared" si="4"/>
        <v>336.04142857142858</v>
      </c>
      <c r="Q39" s="8">
        <f t="shared" si="5"/>
        <v>712.87821428571431</v>
      </c>
      <c r="R39" s="8">
        <f t="shared" si="6"/>
        <v>2.1213997848904684</v>
      </c>
      <c r="S39" s="12">
        <f t="shared" si="7"/>
        <v>2.2671058489509545E-2</v>
      </c>
    </row>
    <row r="40" spans="1:19" x14ac:dyDescent="0.5">
      <c r="A40" s="8" t="s">
        <v>66</v>
      </c>
      <c r="B40" s="8">
        <v>36196.06</v>
      </c>
      <c r="C40" s="8">
        <v>30031</v>
      </c>
      <c r="D40" s="8">
        <v>29719.23</v>
      </c>
      <c r="E40" s="8">
        <v>30004.79</v>
      </c>
      <c r="F40" s="8">
        <v>29665.03</v>
      </c>
      <c r="G40" s="8">
        <v>23548.29</v>
      </c>
      <c r="H40" s="8">
        <v>32771.86</v>
      </c>
      <c r="I40" s="9">
        <v>67162.539999999994</v>
      </c>
      <c r="J40" s="9">
        <v>57530.51</v>
      </c>
      <c r="K40" s="9">
        <v>69981.41</v>
      </c>
      <c r="L40" s="9">
        <v>68078.429999999993</v>
      </c>
      <c r="M40" s="9">
        <v>63382.75</v>
      </c>
      <c r="N40" s="9">
        <v>58314.36</v>
      </c>
      <c r="O40" s="9">
        <v>55264.04</v>
      </c>
      <c r="P40" s="8">
        <f t="shared" si="4"/>
        <v>30276.608571428573</v>
      </c>
      <c r="Q40" s="8">
        <f t="shared" si="5"/>
        <v>62816.291428571429</v>
      </c>
      <c r="R40" s="8">
        <f t="shared" si="6"/>
        <v>2.0747466242916621</v>
      </c>
      <c r="S40" s="12">
        <f t="shared" si="7"/>
        <v>3.4592627437197791E-8</v>
      </c>
    </row>
    <row r="41" spans="1:19" x14ac:dyDescent="0.5">
      <c r="A41" s="8" t="s">
        <v>67</v>
      </c>
      <c r="B41" s="8">
        <v>672.29</v>
      </c>
      <c r="C41" s="8">
        <v>611.21</v>
      </c>
      <c r="D41" s="8">
        <v>494.28</v>
      </c>
      <c r="E41" s="8">
        <v>360.15</v>
      </c>
      <c r="F41" s="8">
        <v>1003.97</v>
      </c>
      <c r="G41" s="8">
        <v>501.87</v>
      </c>
      <c r="H41" s="8">
        <v>759.96</v>
      </c>
      <c r="I41" s="9">
        <v>2035.34</v>
      </c>
      <c r="J41" s="9">
        <v>1177.8399999999999</v>
      </c>
      <c r="K41" s="9">
        <v>403.31</v>
      </c>
      <c r="L41" s="9">
        <v>1373.69</v>
      </c>
      <c r="M41" s="9">
        <v>1944.16</v>
      </c>
      <c r="N41" s="9">
        <v>394.8</v>
      </c>
      <c r="O41" s="9">
        <v>1627.53</v>
      </c>
      <c r="P41" s="8">
        <f t="shared" si="4"/>
        <v>629.10428571428565</v>
      </c>
      <c r="Q41" s="8">
        <f t="shared" si="5"/>
        <v>1279.5242857142857</v>
      </c>
      <c r="R41" s="8">
        <f t="shared" si="6"/>
        <v>2.0338826403980264</v>
      </c>
      <c r="S41" s="12">
        <f t="shared" si="7"/>
        <v>3.0830796458011414E-2</v>
      </c>
    </row>
    <row r="42" spans="1:19" x14ac:dyDescent="0.5">
      <c r="A42" s="8" t="s">
        <v>68</v>
      </c>
      <c r="B42" s="8">
        <v>6.49</v>
      </c>
      <c r="C42" s="8">
        <v>29.946249999999999</v>
      </c>
      <c r="D42" s="8">
        <v>7.6999999999999999E-2</v>
      </c>
      <c r="E42" s="8">
        <v>2.2799999999999998</v>
      </c>
      <c r="F42" s="8">
        <v>7.6999999999999999E-2</v>
      </c>
      <c r="G42" s="8">
        <v>1.48</v>
      </c>
      <c r="H42" s="8">
        <v>2.5099999999999998</v>
      </c>
      <c r="I42" s="9">
        <v>29.946249999999999</v>
      </c>
      <c r="J42" s="9">
        <v>29.946249999999999</v>
      </c>
      <c r="K42" s="9">
        <v>2.06</v>
      </c>
      <c r="L42" s="9">
        <v>2.99</v>
      </c>
      <c r="M42" s="9">
        <v>7.69</v>
      </c>
      <c r="N42" s="9">
        <v>4.7699999999999996</v>
      </c>
      <c r="O42" s="9">
        <v>7.28</v>
      </c>
      <c r="P42" s="8">
        <f t="shared" si="4"/>
        <v>6.1228928571428565</v>
      </c>
      <c r="Q42" s="8">
        <f t="shared" si="5"/>
        <v>12.097499999999998</v>
      </c>
      <c r="R42" s="8">
        <f t="shared" si="6"/>
        <v>1.9757817558227029</v>
      </c>
      <c r="S42" s="12">
        <f t="shared" si="7"/>
        <v>0.35321472064461101</v>
      </c>
    </row>
    <row r="43" spans="1:19" x14ac:dyDescent="0.5">
      <c r="A43" s="8" t="s">
        <v>69</v>
      </c>
      <c r="B43" s="8">
        <v>840.89</v>
      </c>
      <c r="C43" s="8">
        <v>520.36</v>
      </c>
      <c r="D43" s="8">
        <v>841.64</v>
      </c>
      <c r="E43" s="8">
        <v>1015.73</v>
      </c>
      <c r="F43" s="8">
        <v>698.27</v>
      </c>
      <c r="G43" s="8">
        <v>242.74</v>
      </c>
      <c r="H43" s="8">
        <v>593.03</v>
      </c>
      <c r="I43" s="9">
        <v>1097.98</v>
      </c>
      <c r="J43" s="9">
        <v>1743.46</v>
      </c>
      <c r="K43" s="9">
        <v>1311.08</v>
      </c>
      <c r="L43" s="9">
        <v>1402.99</v>
      </c>
      <c r="M43" s="9">
        <v>1603.98</v>
      </c>
      <c r="N43" s="9">
        <v>1385.4</v>
      </c>
      <c r="O43" s="9">
        <v>564.27</v>
      </c>
      <c r="P43" s="8">
        <f t="shared" si="4"/>
        <v>678.95142857142855</v>
      </c>
      <c r="Q43" s="8">
        <f t="shared" si="5"/>
        <v>1301.3085714285714</v>
      </c>
      <c r="R43" s="8">
        <f t="shared" si="6"/>
        <v>1.916644573775528</v>
      </c>
      <c r="S43" s="12">
        <f t="shared" si="7"/>
        <v>3.8728643477285545E-3</v>
      </c>
    </row>
    <row r="44" spans="1:19" x14ac:dyDescent="0.5">
      <c r="A44" s="8" t="s">
        <v>70</v>
      </c>
      <c r="B44" s="8">
        <v>9.6999999999999993</v>
      </c>
      <c r="C44" s="8">
        <v>19.91</v>
      </c>
      <c r="D44" s="8">
        <v>3.38</v>
      </c>
      <c r="E44" s="8">
        <v>2.75</v>
      </c>
      <c r="F44" s="8">
        <v>3.15</v>
      </c>
      <c r="G44" s="8">
        <v>3.81</v>
      </c>
      <c r="H44" s="8">
        <v>1.92</v>
      </c>
      <c r="I44" s="9">
        <v>30.32</v>
      </c>
      <c r="J44" s="9">
        <v>25.05</v>
      </c>
      <c r="K44" s="9">
        <v>9.5299999999999994</v>
      </c>
      <c r="L44" s="9">
        <v>4.24</v>
      </c>
      <c r="M44" s="9">
        <v>5.7</v>
      </c>
      <c r="N44" s="9">
        <v>4.93</v>
      </c>
      <c r="O44" s="9">
        <v>5.31</v>
      </c>
      <c r="P44" s="8">
        <f t="shared" si="4"/>
        <v>6.3742857142857146</v>
      </c>
      <c r="Q44" s="8">
        <f t="shared" si="5"/>
        <v>12.154285714285717</v>
      </c>
      <c r="R44" s="8">
        <f t="shared" si="6"/>
        <v>1.9067682653518605</v>
      </c>
      <c r="S44" s="12">
        <f t="shared" si="7"/>
        <v>0.24988452025050567</v>
      </c>
    </row>
    <row r="45" spans="1:19" x14ac:dyDescent="0.5">
      <c r="A45" s="8" t="s">
        <v>71</v>
      </c>
      <c r="B45" s="8">
        <v>97.32</v>
      </c>
      <c r="C45" s="8">
        <v>138.51</v>
      </c>
      <c r="D45" s="8">
        <v>91.19</v>
      </c>
      <c r="E45" s="8">
        <v>34.28</v>
      </c>
      <c r="F45" s="8">
        <v>51.72</v>
      </c>
      <c r="G45" s="8">
        <v>52.29</v>
      </c>
      <c r="H45" s="8">
        <v>72.52</v>
      </c>
      <c r="I45" s="9">
        <v>248.46</v>
      </c>
      <c r="J45" s="9">
        <v>189.72</v>
      </c>
      <c r="K45" s="9">
        <v>124.22</v>
      </c>
      <c r="L45" s="9">
        <v>150.58000000000001</v>
      </c>
      <c r="M45" s="9">
        <v>112.34</v>
      </c>
      <c r="N45" s="9">
        <v>139.44999999999999</v>
      </c>
      <c r="O45" s="9">
        <v>54.58</v>
      </c>
      <c r="P45" s="8">
        <f t="shared" si="4"/>
        <v>76.832857142857151</v>
      </c>
      <c r="Q45" s="8">
        <f t="shared" si="5"/>
        <v>145.62142857142857</v>
      </c>
      <c r="R45" s="8">
        <f t="shared" si="6"/>
        <v>1.8953014893181859</v>
      </c>
      <c r="S45" s="12">
        <f t="shared" si="7"/>
        <v>2.4237634328351947E-2</v>
      </c>
    </row>
    <row r="46" spans="1:19" x14ac:dyDescent="0.5">
      <c r="A46" s="8" t="s">
        <v>72</v>
      </c>
      <c r="B46" s="8">
        <v>6.9</v>
      </c>
      <c r="C46" s="8">
        <v>12.08</v>
      </c>
      <c r="D46" s="8">
        <v>4.71</v>
      </c>
      <c r="E46" s="8">
        <v>20.967500000000001</v>
      </c>
      <c r="F46" s="8">
        <v>3.85</v>
      </c>
      <c r="G46" s="8">
        <v>3.2275</v>
      </c>
      <c r="H46" s="8">
        <v>3.57</v>
      </c>
      <c r="I46" s="9">
        <v>19.97</v>
      </c>
      <c r="J46" s="9">
        <v>13.6</v>
      </c>
      <c r="K46" s="9">
        <v>9.64</v>
      </c>
      <c r="L46" s="9">
        <v>20.967500000000001</v>
      </c>
      <c r="M46" s="9">
        <v>15.68</v>
      </c>
      <c r="N46" s="9">
        <v>11.79</v>
      </c>
      <c r="O46" s="9">
        <v>13.04</v>
      </c>
      <c r="P46" s="8">
        <f t="shared" si="4"/>
        <v>7.9007142857142858</v>
      </c>
      <c r="Q46" s="8">
        <f t="shared" si="5"/>
        <v>14.955357142857142</v>
      </c>
      <c r="R46" s="8">
        <f t="shared" si="6"/>
        <v>1.8929120332700478</v>
      </c>
      <c r="S46" s="12">
        <f t="shared" si="7"/>
        <v>3.3336043671048282E-2</v>
      </c>
    </row>
    <row r="47" spans="1:19" x14ac:dyDescent="0.5">
      <c r="A47" s="8" t="s">
        <v>73</v>
      </c>
      <c r="B47" s="8">
        <v>135.77000000000001</v>
      </c>
      <c r="C47" s="8">
        <v>106.11</v>
      </c>
      <c r="D47" s="8">
        <v>58.53</v>
      </c>
      <c r="E47" s="8">
        <v>111.45</v>
      </c>
      <c r="F47" s="8">
        <v>88.22</v>
      </c>
      <c r="G47" s="8">
        <v>56.65</v>
      </c>
      <c r="H47" s="8">
        <v>91.93</v>
      </c>
      <c r="I47" s="9">
        <v>225.55</v>
      </c>
      <c r="J47" s="9">
        <v>174.11</v>
      </c>
      <c r="K47" s="9">
        <v>201.52</v>
      </c>
      <c r="L47" s="9">
        <v>155.4</v>
      </c>
      <c r="M47" s="9">
        <v>194.83</v>
      </c>
      <c r="N47" s="9">
        <v>166.84</v>
      </c>
      <c r="O47" s="9">
        <v>107.28</v>
      </c>
      <c r="P47" s="8">
        <f t="shared" si="4"/>
        <v>92.665714285714259</v>
      </c>
      <c r="Q47" s="8">
        <f t="shared" si="5"/>
        <v>175.07571428571427</v>
      </c>
      <c r="R47" s="8">
        <f t="shared" si="6"/>
        <v>1.8893256868004813</v>
      </c>
      <c r="S47" s="12">
        <f t="shared" si="7"/>
        <v>6.2609472406626506E-4</v>
      </c>
    </row>
    <row r="48" spans="1:19" x14ac:dyDescent="0.5">
      <c r="A48" s="8" t="s">
        <v>74</v>
      </c>
      <c r="B48" s="8">
        <v>1266.6099999999999</v>
      </c>
      <c r="C48" s="8">
        <v>382.84</v>
      </c>
      <c r="D48" s="8">
        <v>304.20999999999998</v>
      </c>
      <c r="E48" s="8">
        <v>368.69</v>
      </c>
      <c r="F48" s="8">
        <v>594.39</v>
      </c>
      <c r="G48" s="8">
        <v>462.85</v>
      </c>
      <c r="H48" s="8">
        <v>673.79</v>
      </c>
      <c r="I48" s="9">
        <v>1462.26</v>
      </c>
      <c r="J48" s="9">
        <v>1396.61</v>
      </c>
      <c r="K48" s="9">
        <v>1078.99</v>
      </c>
      <c r="L48" s="9">
        <v>1049.1500000000001</v>
      </c>
      <c r="M48" s="9">
        <v>1513.3</v>
      </c>
      <c r="N48" s="9">
        <v>310.23</v>
      </c>
      <c r="O48" s="9">
        <v>811.38</v>
      </c>
      <c r="P48" s="8">
        <f t="shared" si="4"/>
        <v>579.0542857142857</v>
      </c>
      <c r="Q48" s="8">
        <f t="shared" si="5"/>
        <v>1088.8457142857144</v>
      </c>
      <c r="R48" s="8">
        <f t="shared" si="6"/>
        <v>1.8803862455530942</v>
      </c>
      <c r="S48" s="12">
        <f t="shared" si="7"/>
        <v>2.8154610853861756E-2</v>
      </c>
    </row>
    <row r="49" spans="1:19" x14ac:dyDescent="0.5">
      <c r="A49" s="8" t="s">
        <v>75</v>
      </c>
      <c r="B49" s="8">
        <v>405.34</v>
      </c>
      <c r="C49" s="8">
        <v>301.77999999999997</v>
      </c>
      <c r="D49" s="8">
        <v>251.92</v>
      </c>
      <c r="E49" s="8">
        <v>925.56</v>
      </c>
      <c r="F49" s="8">
        <v>252.16</v>
      </c>
      <c r="G49" s="8">
        <v>178.52</v>
      </c>
      <c r="H49" s="8">
        <v>147.44999999999999</v>
      </c>
      <c r="I49" s="9">
        <v>1054.1500000000001</v>
      </c>
      <c r="J49" s="9">
        <v>918.36</v>
      </c>
      <c r="K49" s="9">
        <v>122.89</v>
      </c>
      <c r="L49" s="9">
        <v>794.97</v>
      </c>
      <c r="M49" s="9">
        <v>916.45</v>
      </c>
      <c r="N49" s="9">
        <v>398.42</v>
      </c>
      <c r="O49" s="9">
        <v>189.68</v>
      </c>
      <c r="P49" s="8">
        <f t="shared" si="4"/>
        <v>351.81857142857137</v>
      </c>
      <c r="Q49" s="8">
        <f t="shared" si="5"/>
        <v>627.84571428571428</v>
      </c>
      <c r="R49" s="8">
        <f t="shared" si="6"/>
        <v>1.7845724054200016</v>
      </c>
      <c r="S49" s="12">
        <f t="shared" si="7"/>
        <v>0.14309415047879742</v>
      </c>
    </row>
    <row r="50" spans="1:19" x14ac:dyDescent="0.5">
      <c r="A50" s="8" t="s">
        <v>76</v>
      </c>
      <c r="B50" s="8">
        <v>31.58</v>
      </c>
      <c r="C50" s="8">
        <v>20.72</v>
      </c>
      <c r="D50" s="8">
        <v>29.8</v>
      </c>
      <c r="E50" s="8">
        <v>182.09</v>
      </c>
      <c r="F50" s="8">
        <v>22.3</v>
      </c>
      <c r="G50" s="8">
        <v>24.63</v>
      </c>
      <c r="H50" s="8">
        <v>22.56</v>
      </c>
      <c r="I50" s="9">
        <v>138.55000000000001</v>
      </c>
      <c r="J50" s="9">
        <v>69.84</v>
      </c>
      <c r="K50" s="9">
        <v>82.13</v>
      </c>
      <c r="L50" s="9">
        <v>90.68</v>
      </c>
      <c r="M50" s="9">
        <v>95.96</v>
      </c>
      <c r="N50" s="9">
        <v>58.6</v>
      </c>
      <c r="O50" s="9">
        <v>45.67</v>
      </c>
      <c r="P50" s="8">
        <f t="shared" si="4"/>
        <v>47.668571428571433</v>
      </c>
      <c r="Q50" s="8">
        <f t="shared" si="5"/>
        <v>83.061428571428564</v>
      </c>
      <c r="R50" s="8">
        <f t="shared" si="6"/>
        <v>1.7424778230640132</v>
      </c>
      <c r="S50" s="12">
        <f t="shared" si="7"/>
        <v>0.18539099822529534</v>
      </c>
    </row>
    <row r="51" spans="1:19" x14ac:dyDescent="0.5">
      <c r="A51" s="8" t="s">
        <v>77</v>
      </c>
      <c r="B51" s="8">
        <v>1225.8900000000001</v>
      </c>
      <c r="C51" s="8">
        <v>791.14</v>
      </c>
      <c r="D51" s="8">
        <v>619.12</v>
      </c>
      <c r="E51" s="8">
        <v>894.49</v>
      </c>
      <c r="F51" s="8">
        <v>291.08</v>
      </c>
      <c r="G51" s="8">
        <v>275.07</v>
      </c>
      <c r="H51" s="8">
        <v>428.08</v>
      </c>
      <c r="I51" s="9">
        <v>1897.76</v>
      </c>
      <c r="J51" s="9">
        <v>1638.63</v>
      </c>
      <c r="K51" s="9">
        <v>1224.51</v>
      </c>
      <c r="L51" s="9">
        <v>956.1</v>
      </c>
      <c r="M51" s="9">
        <v>796.7</v>
      </c>
      <c r="N51" s="9">
        <v>751.39</v>
      </c>
      <c r="O51" s="9">
        <v>607.61</v>
      </c>
      <c r="P51" s="8">
        <f t="shared" si="4"/>
        <v>646.41</v>
      </c>
      <c r="Q51" s="8">
        <f t="shared" si="5"/>
        <v>1124.6714285714286</v>
      </c>
      <c r="R51" s="8">
        <f t="shared" si="6"/>
        <v>1.7398731897269977</v>
      </c>
      <c r="S51" s="12">
        <f t="shared" si="7"/>
        <v>5.5917571091113581E-2</v>
      </c>
    </row>
    <row r="52" spans="1:19" x14ac:dyDescent="0.5">
      <c r="A52" s="8" t="s">
        <v>78</v>
      </c>
      <c r="B52" s="8">
        <v>219.97</v>
      </c>
      <c r="C52" s="8">
        <v>512.97</v>
      </c>
      <c r="D52" s="8">
        <v>332.45</v>
      </c>
      <c r="E52" s="8">
        <v>43.32</v>
      </c>
      <c r="F52" s="8">
        <v>212.97</v>
      </c>
      <c r="G52" s="8">
        <v>141.37</v>
      </c>
      <c r="H52" s="8">
        <v>221.05</v>
      </c>
      <c r="I52" s="9">
        <v>661.67</v>
      </c>
      <c r="J52" s="9">
        <v>557.54</v>
      </c>
      <c r="K52" s="9">
        <v>348.07</v>
      </c>
      <c r="L52" s="9">
        <v>358.14</v>
      </c>
      <c r="M52" s="9">
        <v>361.39</v>
      </c>
      <c r="N52" s="9">
        <v>314.72000000000003</v>
      </c>
      <c r="O52" s="9">
        <v>254.41</v>
      </c>
      <c r="P52" s="8">
        <f t="shared" si="4"/>
        <v>240.58571428571432</v>
      </c>
      <c r="Q52" s="8">
        <f t="shared" si="5"/>
        <v>407.99142857142851</v>
      </c>
      <c r="R52" s="8">
        <f t="shared" si="6"/>
        <v>1.6958256635591706</v>
      </c>
      <c r="S52" s="12">
        <f t="shared" si="7"/>
        <v>5.4864072827918893E-2</v>
      </c>
    </row>
    <row r="53" spans="1:19" x14ac:dyDescent="0.5">
      <c r="A53" s="8" t="s">
        <v>79</v>
      </c>
      <c r="B53" s="8">
        <v>52.82</v>
      </c>
      <c r="C53" s="8">
        <v>61.49</v>
      </c>
      <c r="D53" s="8">
        <v>0.65</v>
      </c>
      <c r="E53" s="8">
        <v>0.65</v>
      </c>
      <c r="F53" s="8">
        <v>0.65</v>
      </c>
      <c r="G53" s="8">
        <v>6.56</v>
      </c>
      <c r="H53" s="8">
        <v>0.65</v>
      </c>
      <c r="I53" s="9">
        <v>102.92</v>
      </c>
      <c r="J53" s="9">
        <v>42.52</v>
      </c>
      <c r="K53" s="9">
        <v>14.46</v>
      </c>
      <c r="L53" s="9">
        <v>6.98</v>
      </c>
      <c r="M53" s="9">
        <v>16.37</v>
      </c>
      <c r="N53" s="9">
        <v>13.68</v>
      </c>
      <c r="O53" s="9">
        <v>6.5</v>
      </c>
      <c r="P53" s="8">
        <f t="shared" si="4"/>
        <v>17.638571428571431</v>
      </c>
      <c r="Q53" s="8">
        <f t="shared" si="5"/>
        <v>29.061428571428571</v>
      </c>
      <c r="R53" s="8">
        <f t="shared" si="6"/>
        <v>1.6476067060824489</v>
      </c>
      <c r="S53" s="12">
        <f t="shared" si="7"/>
        <v>0.5064000607911201</v>
      </c>
    </row>
    <row r="54" spans="1:19" x14ac:dyDescent="0.5">
      <c r="A54" s="8" t="s">
        <v>80</v>
      </c>
      <c r="B54" s="8">
        <v>266.63</v>
      </c>
      <c r="C54" s="8">
        <v>102.05</v>
      </c>
      <c r="D54" s="8">
        <v>185.57</v>
      </c>
      <c r="E54" s="8">
        <v>525.61</v>
      </c>
      <c r="F54" s="8">
        <v>11.93</v>
      </c>
      <c r="G54" s="8">
        <v>116.33</v>
      </c>
      <c r="H54" s="8">
        <v>27.78</v>
      </c>
      <c r="I54" s="9">
        <v>443.24</v>
      </c>
      <c r="J54" s="9">
        <v>686.55</v>
      </c>
      <c r="K54" s="9">
        <v>209.18</v>
      </c>
      <c r="L54" s="9">
        <v>137.81</v>
      </c>
      <c r="M54" s="9">
        <v>134.47</v>
      </c>
      <c r="N54" s="9">
        <v>337.43</v>
      </c>
      <c r="O54" s="9">
        <v>46.8</v>
      </c>
      <c r="P54" s="8">
        <f t="shared" si="4"/>
        <v>176.55714285714288</v>
      </c>
      <c r="Q54" s="8">
        <f t="shared" si="5"/>
        <v>285.06857142857143</v>
      </c>
      <c r="R54" s="8">
        <f t="shared" si="6"/>
        <v>1.6145966502144184</v>
      </c>
      <c r="S54" s="12">
        <f t="shared" si="7"/>
        <v>0.33218640120729681</v>
      </c>
    </row>
    <row r="55" spans="1:19" x14ac:dyDescent="0.5">
      <c r="A55" s="8" t="s">
        <v>81</v>
      </c>
      <c r="B55" s="8">
        <v>789.69</v>
      </c>
      <c r="C55" s="8">
        <v>721.59</v>
      </c>
      <c r="D55" s="8">
        <v>484.52</v>
      </c>
      <c r="E55" s="8">
        <v>369.34</v>
      </c>
      <c r="F55" s="8">
        <v>1926.89</v>
      </c>
      <c r="G55" s="8">
        <v>585.21</v>
      </c>
      <c r="H55" s="8">
        <v>767.16</v>
      </c>
      <c r="I55" s="9">
        <v>1676.09</v>
      </c>
      <c r="J55" s="9">
        <v>1401.65</v>
      </c>
      <c r="K55" s="9">
        <v>469.46</v>
      </c>
      <c r="L55" s="9">
        <v>1676.07</v>
      </c>
      <c r="M55" s="9">
        <v>1511.44</v>
      </c>
      <c r="N55" s="9">
        <v>528.21</v>
      </c>
      <c r="O55" s="9">
        <v>1748.27</v>
      </c>
      <c r="P55" s="8">
        <f t="shared" si="4"/>
        <v>806.34285714285727</v>
      </c>
      <c r="Q55" s="8">
        <f t="shared" si="5"/>
        <v>1287.312857142857</v>
      </c>
      <c r="R55" s="8">
        <f t="shared" si="6"/>
        <v>1.5964832400255116</v>
      </c>
      <c r="S55" s="12">
        <f t="shared" si="7"/>
        <v>0.1182405480457373</v>
      </c>
    </row>
    <row r="56" spans="1:19" x14ac:dyDescent="0.5">
      <c r="A56" s="8" t="s">
        <v>82</v>
      </c>
      <c r="B56" s="8">
        <v>465.55</v>
      </c>
      <c r="C56" s="8">
        <v>574.88</v>
      </c>
      <c r="D56" s="8">
        <v>397.47</v>
      </c>
      <c r="E56" s="8">
        <v>747.42</v>
      </c>
      <c r="F56" s="8">
        <v>433.07</v>
      </c>
      <c r="G56" s="8">
        <v>341.89</v>
      </c>
      <c r="H56" s="8">
        <v>227.83</v>
      </c>
      <c r="I56" s="9">
        <v>1252.58</v>
      </c>
      <c r="J56" s="9">
        <v>1396.38</v>
      </c>
      <c r="K56" s="9">
        <v>383.86</v>
      </c>
      <c r="L56" s="9">
        <v>640.91</v>
      </c>
      <c r="M56" s="9">
        <v>426.62</v>
      </c>
      <c r="N56" s="9">
        <v>380.01</v>
      </c>
      <c r="O56" s="9">
        <v>517.77</v>
      </c>
      <c r="P56" s="8">
        <f t="shared" si="4"/>
        <v>455.44428571428574</v>
      </c>
      <c r="Q56" s="8">
        <f t="shared" si="5"/>
        <v>714.01857142857159</v>
      </c>
      <c r="R56" s="8">
        <f t="shared" si="6"/>
        <v>1.5677407617679442</v>
      </c>
      <c r="S56" s="12">
        <f t="shared" si="7"/>
        <v>0.16294673050705102</v>
      </c>
    </row>
    <row r="57" spans="1:19" x14ac:dyDescent="0.5">
      <c r="A57" s="8" t="s">
        <v>83</v>
      </c>
      <c r="B57" s="8">
        <v>0.38</v>
      </c>
      <c r="C57" s="8">
        <v>29.57</v>
      </c>
      <c r="D57" s="8">
        <v>3.7999999999999999E-2</v>
      </c>
      <c r="E57" s="8">
        <v>12.52</v>
      </c>
      <c r="F57" s="8">
        <v>3.7999999999999999E-2</v>
      </c>
      <c r="G57" s="8">
        <v>3.7999999999999999E-2</v>
      </c>
      <c r="H57" s="8">
        <v>60.396250000000002</v>
      </c>
      <c r="I57" s="9">
        <v>33.61</v>
      </c>
      <c r="J57" s="9">
        <v>14.4</v>
      </c>
      <c r="K57" s="9">
        <v>28.7</v>
      </c>
      <c r="L57" s="9">
        <v>19.64</v>
      </c>
      <c r="M57" s="9">
        <v>47.64</v>
      </c>
      <c r="N57" s="9">
        <v>14.38</v>
      </c>
      <c r="O57" s="9">
        <v>1.32</v>
      </c>
      <c r="P57" s="8">
        <f t="shared" si="4"/>
        <v>14.711464285714284</v>
      </c>
      <c r="Q57" s="8">
        <f t="shared" si="5"/>
        <v>22.812857142857144</v>
      </c>
      <c r="R57" s="8">
        <f t="shared" si="6"/>
        <v>1.5506856897317693</v>
      </c>
      <c r="S57" s="12">
        <f t="shared" si="7"/>
        <v>0.45121667212639216</v>
      </c>
    </row>
    <row r="58" spans="1:19" x14ac:dyDescent="0.5">
      <c r="A58" s="8" t="s">
        <v>84</v>
      </c>
      <c r="B58" s="8">
        <v>1408.31</v>
      </c>
      <c r="C58" s="8">
        <v>714.86</v>
      </c>
      <c r="D58" s="8">
        <v>824.93</v>
      </c>
      <c r="E58" s="8">
        <v>177.31</v>
      </c>
      <c r="F58" s="8">
        <v>1491.23</v>
      </c>
      <c r="G58" s="8">
        <v>1137.6400000000001</v>
      </c>
      <c r="H58" s="8">
        <v>473.89</v>
      </c>
      <c r="I58" s="9">
        <v>1694.69</v>
      </c>
      <c r="J58" s="9">
        <v>1071.8599999999999</v>
      </c>
      <c r="K58" s="9">
        <v>2161.59</v>
      </c>
      <c r="L58" s="9">
        <v>985.34</v>
      </c>
      <c r="M58" s="9">
        <v>1046.27</v>
      </c>
      <c r="N58" s="9">
        <v>1966.33</v>
      </c>
      <c r="O58" s="9">
        <v>723.33</v>
      </c>
      <c r="P58" s="8">
        <f t="shared" si="4"/>
        <v>889.73857142857139</v>
      </c>
      <c r="Q58" s="8">
        <f t="shared" si="5"/>
        <v>1378.4871428571428</v>
      </c>
      <c r="R58" s="8">
        <f t="shared" si="6"/>
        <v>1.5493170546083359</v>
      </c>
      <c r="S58" s="12">
        <f t="shared" si="7"/>
        <v>0.10459033137522285</v>
      </c>
    </row>
    <row r="59" spans="1:19" x14ac:dyDescent="0.5">
      <c r="A59" s="8" t="s">
        <v>85</v>
      </c>
      <c r="B59" s="8">
        <v>6732.8</v>
      </c>
      <c r="C59" s="8">
        <v>6996.98</v>
      </c>
      <c r="D59" s="8">
        <v>6406.75</v>
      </c>
      <c r="E59" s="8">
        <v>7167.43</v>
      </c>
      <c r="F59" s="8">
        <v>5920.13</v>
      </c>
      <c r="G59" s="8">
        <v>5579.12</v>
      </c>
      <c r="H59" s="8">
        <v>5367.58</v>
      </c>
      <c r="I59" s="9">
        <v>10583.53</v>
      </c>
      <c r="J59" s="9">
        <v>10727.25</v>
      </c>
      <c r="K59" s="9">
        <v>9535.7800000000007</v>
      </c>
      <c r="L59" s="9">
        <v>9958.17</v>
      </c>
      <c r="M59" s="9">
        <v>9022.3799999999992</v>
      </c>
      <c r="N59" s="9">
        <v>9813.7000000000007</v>
      </c>
      <c r="O59" s="9">
        <v>7305.44</v>
      </c>
      <c r="P59" s="8">
        <f t="shared" si="4"/>
        <v>6310.1128571428571</v>
      </c>
      <c r="Q59" s="8">
        <f t="shared" si="5"/>
        <v>9563.75</v>
      </c>
      <c r="R59" s="8">
        <f t="shared" si="6"/>
        <v>1.5156226547000857</v>
      </c>
      <c r="S59" s="12">
        <f t="shared" si="7"/>
        <v>3.5843473971472946E-5</v>
      </c>
    </row>
    <row r="60" spans="1:19" x14ac:dyDescent="0.5">
      <c r="A60" s="8" t="s">
        <v>86</v>
      </c>
      <c r="B60" s="8">
        <v>2231.14</v>
      </c>
      <c r="C60" s="8">
        <v>1790.17</v>
      </c>
      <c r="D60" s="8">
        <v>1078.83</v>
      </c>
      <c r="E60" s="8">
        <v>956.62</v>
      </c>
      <c r="F60" s="8">
        <v>1845.39</v>
      </c>
      <c r="G60" s="8">
        <v>1154.6500000000001</v>
      </c>
      <c r="H60" s="8">
        <v>1160.44</v>
      </c>
      <c r="I60" s="9">
        <v>3316.85</v>
      </c>
      <c r="J60" s="9">
        <v>2155.9</v>
      </c>
      <c r="K60" s="9">
        <v>1277.9000000000001</v>
      </c>
      <c r="L60" s="9">
        <v>2738.48</v>
      </c>
      <c r="M60" s="9">
        <v>2068.5700000000002</v>
      </c>
      <c r="N60" s="9">
        <v>2253.34</v>
      </c>
      <c r="O60" s="9">
        <v>1439.03</v>
      </c>
      <c r="P60" s="8">
        <f t="shared" si="4"/>
        <v>1459.6057142857142</v>
      </c>
      <c r="Q60" s="8">
        <f t="shared" si="5"/>
        <v>2178.5814285714287</v>
      </c>
      <c r="R60" s="8">
        <f t="shared" si="6"/>
        <v>1.4925821454717714</v>
      </c>
      <c r="S60" s="12">
        <f t="shared" si="7"/>
        <v>4.6735224322849135E-2</v>
      </c>
    </row>
    <row r="61" spans="1:19" x14ac:dyDescent="0.5">
      <c r="A61" s="8" t="s">
        <v>87</v>
      </c>
      <c r="B61" s="8">
        <v>2.3199999999999998</v>
      </c>
      <c r="C61" s="8">
        <v>12.76</v>
      </c>
      <c r="D61" s="8">
        <v>30.04</v>
      </c>
      <c r="E61" s="8">
        <v>0.183</v>
      </c>
      <c r="F61" s="8">
        <v>0.183</v>
      </c>
      <c r="G61" s="8">
        <v>4.1500000000000004</v>
      </c>
      <c r="H61" s="8">
        <v>7.93</v>
      </c>
      <c r="I61" s="9">
        <v>30.810124999999999</v>
      </c>
      <c r="J61" s="9">
        <v>30.810124999999999</v>
      </c>
      <c r="K61" s="9">
        <v>2.4900000000000002</v>
      </c>
      <c r="L61" s="9">
        <v>10.98</v>
      </c>
      <c r="M61" s="9">
        <v>1.83</v>
      </c>
      <c r="N61" s="9">
        <v>8.6300000000000008</v>
      </c>
      <c r="O61" s="9">
        <v>0.183</v>
      </c>
      <c r="P61" s="8">
        <f t="shared" si="4"/>
        <v>8.2237142857142853</v>
      </c>
      <c r="Q61" s="8">
        <f t="shared" si="5"/>
        <v>12.247607142857143</v>
      </c>
      <c r="R61" s="8">
        <f t="shared" si="6"/>
        <v>1.4893035819754719</v>
      </c>
      <c r="S61" s="12">
        <f t="shared" si="7"/>
        <v>0.5424788795870874</v>
      </c>
    </row>
    <row r="62" spans="1:19" x14ac:dyDescent="0.5">
      <c r="A62" s="8" t="s">
        <v>88</v>
      </c>
      <c r="B62" s="8">
        <v>108.22</v>
      </c>
      <c r="C62" s="8">
        <v>104.17</v>
      </c>
      <c r="D62" s="8">
        <v>81.06</v>
      </c>
      <c r="E62" s="8">
        <v>126.35</v>
      </c>
      <c r="F62" s="8">
        <v>155.66999999999999</v>
      </c>
      <c r="G62" s="8">
        <v>85.79</v>
      </c>
      <c r="H62" s="8">
        <v>115.37</v>
      </c>
      <c r="I62" s="9">
        <v>122.14</v>
      </c>
      <c r="J62" s="9">
        <v>200.28</v>
      </c>
      <c r="K62" s="9">
        <v>99.53</v>
      </c>
      <c r="L62" s="9">
        <v>224.3</v>
      </c>
      <c r="M62" s="9">
        <v>184.1</v>
      </c>
      <c r="N62" s="9">
        <v>104.48</v>
      </c>
      <c r="O62" s="9">
        <v>215.61</v>
      </c>
      <c r="P62" s="8">
        <f t="shared" si="4"/>
        <v>110.94714285714284</v>
      </c>
      <c r="Q62" s="8">
        <f t="shared" si="5"/>
        <v>164.34857142857143</v>
      </c>
      <c r="R62" s="8">
        <f t="shared" si="6"/>
        <v>1.4813231525951873</v>
      </c>
      <c r="S62" s="12">
        <f t="shared" si="7"/>
        <v>3.5341627525654763E-2</v>
      </c>
    </row>
    <row r="63" spans="1:19" x14ac:dyDescent="0.5">
      <c r="A63" s="8" t="s">
        <v>89</v>
      </c>
      <c r="B63" s="8">
        <v>407.35</v>
      </c>
      <c r="C63" s="8">
        <v>526.95000000000005</v>
      </c>
      <c r="D63" s="8">
        <v>771.25</v>
      </c>
      <c r="E63" s="8">
        <v>954.68</v>
      </c>
      <c r="F63" s="8">
        <v>1087.07</v>
      </c>
      <c r="G63" s="8">
        <v>615.91</v>
      </c>
      <c r="H63" s="8">
        <v>438.65</v>
      </c>
      <c r="I63" s="9">
        <v>1278.4000000000001</v>
      </c>
      <c r="J63" s="9">
        <v>772.15</v>
      </c>
      <c r="K63" s="9">
        <v>983.66</v>
      </c>
      <c r="L63" s="9">
        <v>1018.81</v>
      </c>
      <c r="M63" s="9">
        <v>920.68</v>
      </c>
      <c r="N63" s="9">
        <v>1069.3399999999999</v>
      </c>
      <c r="O63" s="9">
        <v>921.79</v>
      </c>
      <c r="P63" s="8">
        <f t="shared" si="4"/>
        <v>685.9799999999999</v>
      </c>
      <c r="Q63" s="8">
        <f t="shared" si="5"/>
        <v>994.97571428571428</v>
      </c>
      <c r="R63" s="8">
        <f t="shared" si="6"/>
        <v>1.4504442028713875</v>
      </c>
      <c r="S63" s="12">
        <f t="shared" si="7"/>
        <v>1.9869342618827744E-2</v>
      </c>
    </row>
    <row r="64" spans="1:19" x14ac:dyDescent="0.5">
      <c r="A64" s="8" t="s">
        <v>90</v>
      </c>
      <c r="B64" s="8">
        <v>5135.46</v>
      </c>
      <c r="C64" s="8">
        <v>3087.51</v>
      </c>
      <c r="D64" s="8">
        <v>4257.9399999999996</v>
      </c>
      <c r="E64" s="8">
        <v>6366.68</v>
      </c>
      <c r="F64" s="8">
        <v>5296.63</v>
      </c>
      <c r="G64" s="8">
        <v>3558.75</v>
      </c>
      <c r="H64" s="8">
        <v>2390.91</v>
      </c>
      <c r="I64" s="9">
        <v>5361.53</v>
      </c>
      <c r="J64" s="9">
        <v>4154.8500000000004</v>
      </c>
      <c r="K64" s="9">
        <v>6333.67</v>
      </c>
      <c r="L64" s="9">
        <v>7225.06</v>
      </c>
      <c r="M64" s="9">
        <v>8870.2900000000009</v>
      </c>
      <c r="N64" s="9">
        <v>7387.17</v>
      </c>
      <c r="O64" s="9">
        <v>4248.3999999999996</v>
      </c>
      <c r="P64" s="8">
        <f t="shared" si="4"/>
        <v>4299.1257142857148</v>
      </c>
      <c r="Q64" s="8">
        <f t="shared" si="5"/>
        <v>6225.8528571428569</v>
      </c>
      <c r="R64" s="8">
        <f t="shared" si="6"/>
        <v>1.4481672021022212</v>
      </c>
      <c r="S64" s="12">
        <f t="shared" si="7"/>
        <v>4.1488182313045963E-2</v>
      </c>
    </row>
    <row r="65" spans="1:19" x14ac:dyDescent="0.5">
      <c r="A65" s="8" t="s">
        <v>91</v>
      </c>
      <c r="B65" s="8">
        <v>0.251</v>
      </c>
      <c r="C65" s="8">
        <v>0.251</v>
      </c>
      <c r="D65" s="8">
        <v>316.48</v>
      </c>
      <c r="E65" s="8">
        <v>0.251</v>
      </c>
      <c r="F65" s="8">
        <v>0.251</v>
      </c>
      <c r="G65" s="8">
        <v>0.251</v>
      </c>
      <c r="H65" s="8">
        <v>0.251</v>
      </c>
      <c r="I65" s="9">
        <v>308.12</v>
      </c>
      <c r="J65" s="9">
        <v>10.47</v>
      </c>
      <c r="K65" s="9">
        <v>17.989999999999998</v>
      </c>
      <c r="L65" s="9">
        <v>106.32</v>
      </c>
      <c r="M65" s="9">
        <v>14.7</v>
      </c>
      <c r="N65" s="9">
        <v>0.251</v>
      </c>
      <c r="O65" s="9">
        <v>0.251</v>
      </c>
      <c r="P65" s="8">
        <f t="shared" si="4"/>
        <v>45.426571428571421</v>
      </c>
      <c r="Q65" s="8">
        <f t="shared" si="5"/>
        <v>65.44314285714286</v>
      </c>
      <c r="R65" s="8">
        <f t="shared" si="6"/>
        <v>1.4406357512594896</v>
      </c>
      <c r="S65" s="12">
        <f t="shared" si="7"/>
        <v>0.75323246099508845</v>
      </c>
    </row>
    <row r="66" spans="1:19" x14ac:dyDescent="0.5">
      <c r="A66" s="8" t="s">
        <v>92</v>
      </c>
      <c r="B66" s="8">
        <v>216.41</v>
      </c>
      <c r="C66" s="8">
        <v>310.58</v>
      </c>
      <c r="D66" s="8">
        <v>150.24</v>
      </c>
      <c r="E66" s="8">
        <v>182.38</v>
      </c>
      <c r="F66" s="8">
        <v>185.24</v>
      </c>
      <c r="G66" s="8">
        <v>225.27</v>
      </c>
      <c r="H66" s="8">
        <v>48.88</v>
      </c>
      <c r="I66" s="9">
        <v>378.84</v>
      </c>
      <c r="J66" s="9">
        <v>386.72</v>
      </c>
      <c r="K66" s="9">
        <v>138.59</v>
      </c>
      <c r="L66" s="9">
        <v>402.36</v>
      </c>
      <c r="M66" s="9">
        <v>334.67</v>
      </c>
      <c r="N66" s="9">
        <v>90.32</v>
      </c>
      <c r="O66" s="9">
        <v>153.28</v>
      </c>
      <c r="P66" s="8">
        <f t="shared" ref="P66:P97" si="8">AVERAGE(B66:H66)</f>
        <v>188.42857142857142</v>
      </c>
      <c r="Q66" s="8">
        <f t="shared" ref="Q66:Q97" si="9">AVERAGE(I66:O66)</f>
        <v>269.25428571428569</v>
      </c>
      <c r="R66" s="8">
        <f t="shared" ref="R66:R97" si="10">Q66/P66</f>
        <v>1.4289461713419256</v>
      </c>
      <c r="S66" s="12">
        <f t="shared" ref="S66:S97" si="11">_xlfn.T.TEST(B66:H66,I66:O66,2,2)</f>
        <v>0.1988896482081168</v>
      </c>
    </row>
    <row r="67" spans="1:19" x14ac:dyDescent="0.5">
      <c r="A67" s="8" t="s">
        <v>93</v>
      </c>
      <c r="B67" s="8">
        <v>2183.1999999999998</v>
      </c>
      <c r="C67" s="8">
        <v>2672.37</v>
      </c>
      <c r="D67" s="8">
        <v>1822.13</v>
      </c>
      <c r="E67" s="8">
        <v>2411.9699999999998</v>
      </c>
      <c r="F67" s="8">
        <v>2612.16</v>
      </c>
      <c r="G67" s="8">
        <v>1242.1300000000001</v>
      </c>
      <c r="H67" s="8">
        <v>1457.46</v>
      </c>
      <c r="I67" s="9">
        <v>2203.25</v>
      </c>
      <c r="J67" s="9">
        <v>3370.33</v>
      </c>
      <c r="K67" s="9">
        <v>6154.49</v>
      </c>
      <c r="L67" s="9">
        <v>2334.98</v>
      </c>
      <c r="M67" s="9">
        <v>1702.93</v>
      </c>
      <c r="N67" s="9">
        <v>1092.03</v>
      </c>
      <c r="O67" s="9">
        <v>3611.39</v>
      </c>
      <c r="P67" s="8">
        <f t="shared" si="8"/>
        <v>2057.3457142857142</v>
      </c>
      <c r="Q67" s="8">
        <f t="shared" si="9"/>
        <v>2924.2</v>
      </c>
      <c r="R67" s="8">
        <f t="shared" si="10"/>
        <v>1.4213459506076485</v>
      </c>
      <c r="S67" s="12">
        <f t="shared" si="11"/>
        <v>0.2186405209043473</v>
      </c>
    </row>
    <row r="68" spans="1:19" x14ac:dyDescent="0.5">
      <c r="A68" s="8" t="s">
        <v>94</v>
      </c>
      <c r="B68" s="8">
        <v>94.98</v>
      </c>
      <c r="C68" s="8">
        <v>37.42</v>
      </c>
      <c r="D68" s="8">
        <v>56.86</v>
      </c>
      <c r="E68" s="8">
        <v>255.6875</v>
      </c>
      <c r="F68" s="8">
        <v>20.78</v>
      </c>
      <c r="G68" s="8">
        <v>34.229999999999997</v>
      </c>
      <c r="H68" s="8">
        <v>21.99</v>
      </c>
      <c r="I68" s="9">
        <v>255.6875</v>
      </c>
      <c r="J68" s="9">
        <v>124.42</v>
      </c>
      <c r="K68" s="9">
        <v>21.47</v>
      </c>
      <c r="L68" s="9">
        <v>80.61</v>
      </c>
      <c r="M68" s="9">
        <v>149.75</v>
      </c>
      <c r="N68" s="9">
        <v>56.07</v>
      </c>
      <c r="O68" s="9">
        <v>37.5</v>
      </c>
      <c r="P68" s="8">
        <f t="shared" si="8"/>
        <v>74.563928571428576</v>
      </c>
      <c r="Q68" s="8">
        <f t="shared" si="9"/>
        <v>103.64392857142857</v>
      </c>
      <c r="R68" s="8">
        <f t="shared" si="10"/>
        <v>1.390000910053214</v>
      </c>
      <c r="S68" s="12">
        <f t="shared" si="11"/>
        <v>0.52236937757233037</v>
      </c>
    </row>
    <row r="69" spans="1:19" x14ac:dyDescent="0.5">
      <c r="A69" s="8" t="s">
        <v>95</v>
      </c>
      <c r="B69" s="8">
        <v>42320.72</v>
      </c>
      <c r="C69" s="8">
        <v>53179.38</v>
      </c>
      <c r="D69" s="8">
        <v>52326.42</v>
      </c>
      <c r="E69" s="8">
        <v>13168.76</v>
      </c>
      <c r="F69" s="8">
        <v>37457.78</v>
      </c>
      <c r="G69" s="8">
        <v>31738.71</v>
      </c>
      <c r="H69" s="8">
        <v>32519.99</v>
      </c>
      <c r="I69" s="9">
        <v>58121.2</v>
      </c>
      <c r="J69" s="9">
        <v>55514.9</v>
      </c>
      <c r="K69" s="9">
        <v>56241.61</v>
      </c>
      <c r="L69" s="9">
        <v>53540.06</v>
      </c>
      <c r="M69" s="9">
        <v>48972.61</v>
      </c>
      <c r="N69" s="9">
        <v>52254.3</v>
      </c>
      <c r="O69" s="9">
        <v>29933.69</v>
      </c>
      <c r="P69" s="8">
        <f t="shared" si="8"/>
        <v>37530.251428571428</v>
      </c>
      <c r="Q69" s="8">
        <f t="shared" si="9"/>
        <v>50654.052857142859</v>
      </c>
      <c r="R69" s="8">
        <f t="shared" si="10"/>
        <v>1.3496859447784142</v>
      </c>
      <c r="S69" s="12">
        <f t="shared" si="11"/>
        <v>6.0974128662140283E-2</v>
      </c>
    </row>
    <row r="70" spans="1:19" x14ac:dyDescent="0.5">
      <c r="A70" s="8" t="s">
        <v>96</v>
      </c>
      <c r="B70" s="8">
        <v>1497.49</v>
      </c>
      <c r="C70" s="8">
        <v>928.55</v>
      </c>
      <c r="D70" s="8">
        <v>3722.3449999999998</v>
      </c>
      <c r="E70" s="8">
        <v>650.41</v>
      </c>
      <c r="F70" s="8">
        <v>1626.27</v>
      </c>
      <c r="G70" s="8">
        <v>1068.57</v>
      </c>
      <c r="H70" s="8">
        <v>1018.02</v>
      </c>
      <c r="I70" s="9">
        <v>1199.79</v>
      </c>
      <c r="J70" s="9">
        <v>2093.09</v>
      </c>
      <c r="K70" s="9">
        <v>3722.3449999999998</v>
      </c>
      <c r="L70" s="9">
        <v>2156.61</v>
      </c>
      <c r="M70" s="9">
        <v>2058.3000000000002</v>
      </c>
      <c r="N70" s="9">
        <v>838.84</v>
      </c>
      <c r="O70" s="9">
        <v>1986.67</v>
      </c>
      <c r="P70" s="8">
        <f t="shared" si="8"/>
        <v>1501.6650000000002</v>
      </c>
      <c r="Q70" s="8">
        <f t="shared" si="9"/>
        <v>2007.9492857142861</v>
      </c>
      <c r="R70" s="8">
        <f t="shared" si="10"/>
        <v>1.3371486221722459</v>
      </c>
      <c r="S70" s="12">
        <f t="shared" si="11"/>
        <v>0.35060657751576407</v>
      </c>
    </row>
    <row r="71" spans="1:19" x14ac:dyDescent="0.5">
      <c r="A71" s="8" t="s">
        <v>97</v>
      </c>
      <c r="B71" s="8">
        <v>1206.43</v>
      </c>
      <c r="C71" s="8">
        <v>1432.07</v>
      </c>
      <c r="D71" s="8">
        <v>654.47</v>
      </c>
      <c r="E71" s="8">
        <v>1067.31</v>
      </c>
      <c r="F71" s="8">
        <v>992.61</v>
      </c>
      <c r="G71" s="8">
        <v>1131.19</v>
      </c>
      <c r="H71" s="8">
        <v>541.78</v>
      </c>
      <c r="I71" s="9">
        <v>862.79</v>
      </c>
      <c r="J71" s="9">
        <v>1082.83</v>
      </c>
      <c r="K71" s="9">
        <v>1686.33</v>
      </c>
      <c r="L71" s="9">
        <v>1422.76</v>
      </c>
      <c r="M71" s="9">
        <v>1361.9</v>
      </c>
      <c r="N71" s="9">
        <v>1410.44</v>
      </c>
      <c r="O71" s="9">
        <v>1534.77</v>
      </c>
      <c r="P71" s="8">
        <f t="shared" si="8"/>
        <v>1003.6942857142857</v>
      </c>
      <c r="Q71" s="8">
        <f t="shared" si="9"/>
        <v>1337.4028571428573</v>
      </c>
      <c r="R71" s="8">
        <f t="shared" si="10"/>
        <v>1.3324802942273262</v>
      </c>
      <c r="S71" s="12">
        <f t="shared" si="11"/>
        <v>5.5905167460875219E-2</v>
      </c>
    </row>
    <row r="72" spans="1:19" x14ac:dyDescent="0.5">
      <c r="A72" s="8" t="s">
        <v>98</v>
      </c>
      <c r="B72" s="8">
        <v>2939.37</v>
      </c>
      <c r="C72" s="8">
        <v>1846.94</v>
      </c>
      <c r="D72" s="8">
        <v>1907.42</v>
      </c>
      <c r="E72" s="8">
        <v>7452.5</v>
      </c>
      <c r="F72" s="8">
        <v>1870.46</v>
      </c>
      <c r="G72" s="8">
        <v>1489.99</v>
      </c>
      <c r="H72" s="8">
        <v>1138.22</v>
      </c>
      <c r="I72" s="9">
        <v>6408.82</v>
      </c>
      <c r="J72" s="9">
        <v>5599.64</v>
      </c>
      <c r="K72" s="9">
        <v>427.56</v>
      </c>
      <c r="L72" s="9">
        <v>4212.92</v>
      </c>
      <c r="M72" s="9">
        <v>4600.53</v>
      </c>
      <c r="N72" s="9">
        <v>2214.7399999999998</v>
      </c>
      <c r="O72" s="9">
        <v>1240.27</v>
      </c>
      <c r="P72" s="8">
        <f t="shared" si="8"/>
        <v>2663.5571428571429</v>
      </c>
      <c r="Q72" s="8">
        <f t="shared" si="9"/>
        <v>3529.2114285714283</v>
      </c>
      <c r="R72" s="8">
        <f t="shared" si="10"/>
        <v>1.3249993295753797</v>
      </c>
      <c r="S72" s="12">
        <f t="shared" si="11"/>
        <v>0.48049905421160455</v>
      </c>
    </row>
    <row r="73" spans="1:19" x14ac:dyDescent="0.5">
      <c r="A73" s="8" t="s">
        <v>99</v>
      </c>
      <c r="B73" s="8">
        <v>444.54</v>
      </c>
      <c r="C73" s="8">
        <v>221.07</v>
      </c>
      <c r="D73" s="8">
        <v>169.47</v>
      </c>
      <c r="E73" s="8">
        <v>144.9</v>
      </c>
      <c r="F73" s="8">
        <v>197.03</v>
      </c>
      <c r="G73" s="8">
        <v>131.15</v>
      </c>
      <c r="H73" s="8">
        <v>229.83</v>
      </c>
      <c r="I73" s="9">
        <v>292.31</v>
      </c>
      <c r="J73" s="9">
        <v>342.06</v>
      </c>
      <c r="K73" s="9">
        <v>494.51</v>
      </c>
      <c r="L73" s="9">
        <v>221.67</v>
      </c>
      <c r="M73" s="9">
        <v>258</v>
      </c>
      <c r="N73" s="9">
        <v>181.26</v>
      </c>
      <c r="O73" s="9">
        <v>215.45</v>
      </c>
      <c r="P73" s="8">
        <f t="shared" si="8"/>
        <v>219.71285714285713</v>
      </c>
      <c r="Q73" s="8">
        <f t="shared" si="9"/>
        <v>286.46571428571434</v>
      </c>
      <c r="R73" s="8">
        <f t="shared" si="10"/>
        <v>1.3038186204071551</v>
      </c>
      <c r="S73" s="12">
        <f t="shared" si="11"/>
        <v>0.26128402427248731</v>
      </c>
    </row>
    <row r="74" spans="1:19" x14ac:dyDescent="0.5">
      <c r="A74" s="8" t="s">
        <v>100</v>
      </c>
      <c r="B74" s="8">
        <v>357.66</v>
      </c>
      <c r="C74" s="8">
        <v>153.22</v>
      </c>
      <c r="D74" s="8">
        <v>196.61</v>
      </c>
      <c r="E74" s="8">
        <v>164.92</v>
      </c>
      <c r="F74" s="8">
        <v>712.16499999999996</v>
      </c>
      <c r="G74" s="8">
        <v>3.1230000000000002</v>
      </c>
      <c r="H74" s="8">
        <v>31.23</v>
      </c>
      <c r="I74" s="9">
        <v>559.9</v>
      </c>
      <c r="J74" s="9">
        <v>514.87</v>
      </c>
      <c r="K74" s="9">
        <v>156.99</v>
      </c>
      <c r="L74" s="9">
        <v>207.66</v>
      </c>
      <c r="M74" s="9">
        <v>332.35</v>
      </c>
      <c r="N74" s="9">
        <v>180.55</v>
      </c>
      <c r="O74" s="9">
        <v>156.28</v>
      </c>
      <c r="P74" s="8">
        <f t="shared" si="8"/>
        <v>231.27542857142856</v>
      </c>
      <c r="Q74" s="8">
        <f t="shared" si="9"/>
        <v>301.2285714285714</v>
      </c>
      <c r="R74" s="8">
        <f t="shared" si="10"/>
        <v>1.3024668175484022</v>
      </c>
      <c r="S74" s="12">
        <f t="shared" si="11"/>
        <v>0.54499003759994125</v>
      </c>
    </row>
    <row r="75" spans="1:19" x14ac:dyDescent="0.5">
      <c r="A75" s="8" t="s">
        <v>101</v>
      </c>
      <c r="B75" s="8">
        <v>1091.28</v>
      </c>
      <c r="C75" s="8">
        <v>1974.32</v>
      </c>
      <c r="D75" s="8">
        <v>1397.25</v>
      </c>
      <c r="E75" s="8">
        <v>391.07</v>
      </c>
      <c r="F75" s="8">
        <v>2689.99</v>
      </c>
      <c r="G75" s="8">
        <v>1383.6</v>
      </c>
      <c r="H75" s="8">
        <v>1038.3</v>
      </c>
      <c r="I75" s="9">
        <v>2516.71</v>
      </c>
      <c r="J75" s="9">
        <v>1772.54</v>
      </c>
      <c r="K75" s="9">
        <v>846.92</v>
      </c>
      <c r="L75" s="9">
        <v>2404.54</v>
      </c>
      <c r="M75" s="9">
        <v>1517.12</v>
      </c>
      <c r="N75" s="9">
        <v>1699.11</v>
      </c>
      <c r="O75" s="9">
        <v>2220.7800000000002</v>
      </c>
      <c r="P75" s="8">
        <f t="shared" si="8"/>
        <v>1423.6871428571428</v>
      </c>
      <c r="Q75" s="8">
        <f t="shared" si="9"/>
        <v>1853.9600000000003</v>
      </c>
      <c r="R75" s="8">
        <f t="shared" si="10"/>
        <v>1.3022243048984481</v>
      </c>
      <c r="S75" s="12">
        <f t="shared" si="11"/>
        <v>0.24782584071415101</v>
      </c>
    </row>
    <row r="76" spans="1:19" x14ac:dyDescent="0.5">
      <c r="A76" s="8" t="s">
        <v>102</v>
      </c>
      <c r="B76" s="8">
        <v>495.15</v>
      </c>
      <c r="C76" s="8">
        <v>459.52</v>
      </c>
      <c r="D76" s="8">
        <v>456.42</v>
      </c>
      <c r="E76" s="8">
        <v>207.04</v>
      </c>
      <c r="F76" s="8">
        <v>485.29</v>
      </c>
      <c r="G76" s="8">
        <v>366.86</v>
      </c>
      <c r="H76" s="8">
        <v>280.73</v>
      </c>
      <c r="I76" s="9">
        <v>578.84</v>
      </c>
      <c r="J76" s="9">
        <v>483.41</v>
      </c>
      <c r="K76" s="9">
        <v>217.44</v>
      </c>
      <c r="L76" s="9">
        <v>710.64</v>
      </c>
      <c r="M76" s="9">
        <v>634.41999999999996</v>
      </c>
      <c r="N76" s="9">
        <v>407.04</v>
      </c>
      <c r="O76" s="9">
        <v>522.55999999999995</v>
      </c>
      <c r="P76" s="8">
        <f t="shared" si="8"/>
        <v>393.00142857142862</v>
      </c>
      <c r="Q76" s="8">
        <f t="shared" si="9"/>
        <v>507.76428571428568</v>
      </c>
      <c r="R76" s="8">
        <f t="shared" si="10"/>
        <v>1.2920163867088812</v>
      </c>
      <c r="S76" s="12">
        <f t="shared" si="11"/>
        <v>0.14912244635290858</v>
      </c>
    </row>
    <row r="77" spans="1:19" x14ac:dyDescent="0.5">
      <c r="A77" s="8" t="s">
        <v>103</v>
      </c>
      <c r="B77" s="8">
        <v>73.44</v>
      </c>
      <c r="C77" s="8">
        <v>41.96</v>
      </c>
      <c r="D77" s="8">
        <v>38.1</v>
      </c>
      <c r="E77" s="8">
        <v>157.65</v>
      </c>
      <c r="F77" s="8">
        <v>35.28</v>
      </c>
      <c r="G77" s="8">
        <v>22.67</v>
      </c>
      <c r="H77" s="8">
        <v>10.41</v>
      </c>
      <c r="I77" s="9">
        <v>131.19999999999999</v>
      </c>
      <c r="J77" s="9">
        <v>105.77</v>
      </c>
      <c r="K77" s="9">
        <v>11.86</v>
      </c>
      <c r="L77" s="9">
        <v>73.849999999999994</v>
      </c>
      <c r="M77" s="9">
        <v>109.37</v>
      </c>
      <c r="N77" s="9">
        <v>37.6</v>
      </c>
      <c r="O77" s="9">
        <v>19.260000000000002</v>
      </c>
      <c r="P77" s="8">
        <f t="shared" si="8"/>
        <v>54.215714285714284</v>
      </c>
      <c r="Q77" s="8">
        <f t="shared" si="9"/>
        <v>69.844285714285704</v>
      </c>
      <c r="R77" s="8">
        <f t="shared" si="10"/>
        <v>1.2882664488419275</v>
      </c>
      <c r="S77" s="12">
        <f t="shared" si="11"/>
        <v>0.55863639011114796</v>
      </c>
    </row>
    <row r="78" spans="1:19" x14ac:dyDescent="0.5">
      <c r="A78" s="8" t="s">
        <v>104</v>
      </c>
      <c r="B78" s="8">
        <v>13658.12</v>
      </c>
      <c r="C78" s="8">
        <v>13018.39</v>
      </c>
      <c r="D78" s="8">
        <v>10124.65</v>
      </c>
      <c r="E78" s="8">
        <v>12101.56</v>
      </c>
      <c r="F78" s="8">
        <v>12725.84</v>
      </c>
      <c r="G78" s="8">
        <v>7485.99</v>
      </c>
      <c r="H78" s="8">
        <v>9618.75</v>
      </c>
      <c r="I78" s="9">
        <v>15834.51</v>
      </c>
      <c r="J78" s="9">
        <v>16454.13</v>
      </c>
      <c r="K78" s="9">
        <v>11075.69</v>
      </c>
      <c r="L78" s="9">
        <v>14132.55</v>
      </c>
      <c r="M78" s="9">
        <v>14785.55</v>
      </c>
      <c r="N78" s="9">
        <v>18984.77</v>
      </c>
      <c r="O78" s="9">
        <v>9688.15</v>
      </c>
      <c r="P78" s="8">
        <f t="shared" si="8"/>
        <v>11247.614285714286</v>
      </c>
      <c r="Q78" s="8">
        <f t="shared" si="9"/>
        <v>14422.192857142858</v>
      </c>
      <c r="R78" s="8">
        <f t="shared" si="10"/>
        <v>1.2822446156835798</v>
      </c>
      <c r="S78" s="12">
        <f t="shared" si="11"/>
        <v>5.1677223983717976E-2</v>
      </c>
    </row>
    <row r="79" spans="1:19" x14ac:dyDescent="0.5">
      <c r="A79" s="8" t="s">
        <v>105</v>
      </c>
      <c r="B79" s="8">
        <v>347.72</v>
      </c>
      <c r="C79" s="8">
        <v>36.49</v>
      </c>
      <c r="D79" s="8">
        <v>171.09</v>
      </c>
      <c r="E79" s="8">
        <v>1.339</v>
      </c>
      <c r="F79" s="8">
        <v>1.339</v>
      </c>
      <c r="G79" s="8">
        <v>15.33</v>
      </c>
      <c r="H79" s="8">
        <v>1.339</v>
      </c>
      <c r="I79" s="9">
        <v>433.39150000000001</v>
      </c>
      <c r="J79" s="9">
        <v>113.62</v>
      </c>
      <c r="K79" s="9">
        <v>1.339</v>
      </c>
      <c r="L79" s="9">
        <v>112.97</v>
      </c>
      <c r="M79" s="9">
        <v>54.78</v>
      </c>
      <c r="N79" s="9">
        <v>1.339</v>
      </c>
      <c r="O79" s="9">
        <v>1.339</v>
      </c>
      <c r="P79" s="8">
        <f t="shared" si="8"/>
        <v>82.092428571428613</v>
      </c>
      <c r="Q79" s="8">
        <f t="shared" si="9"/>
        <v>102.68264285714289</v>
      </c>
      <c r="R79" s="8">
        <f t="shared" si="10"/>
        <v>1.2508174583700948</v>
      </c>
      <c r="S79" s="12">
        <f t="shared" si="11"/>
        <v>0.79299182395159884</v>
      </c>
    </row>
    <row r="80" spans="1:19" x14ac:dyDescent="0.5">
      <c r="A80" s="8" t="s">
        <v>106</v>
      </c>
      <c r="B80" s="8">
        <v>430.22</v>
      </c>
      <c r="C80" s="8">
        <v>293.27999999999997</v>
      </c>
      <c r="D80" s="8">
        <v>424.65</v>
      </c>
      <c r="E80" s="8">
        <v>307.01</v>
      </c>
      <c r="F80" s="8">
        <v>258.52999999999997</v>
      </c>
      <c r="G80" s="8">
        <v>304.49</v>
      </c>
      <c r="H80" s="8">
        <v>1236.7562499999999</v>
      </c>
      <c r="I80" s="9">
        <v>306.93</v>
      </c>
      <c r="J80" s="9">
        <v>548.07000000000005</v>
      </c>
      <c r="K80" s="9">
        <v>481.97</v>
      </c>
      <c r="L80" s="9">
        <v>550.87</v>
      </c>
      <c r="M80" s="9">
        <v>292.42</v>
      </c>
      <c r="N80" s="9">
        <v>630.35</v>
      </c>
      <c r="O80" s="9">
        <v>1236.7562499999999</v>
      </c>
      <c r="P80" s="8">
        <f t="shared" si="8"/>
        <v>464.9908928571428</v>
      </c>
      <c r="Q80" s="8">
        <f t="shared" si="9"/>
        <v>578.19517857142853</v>
      </c>
      <c r="R80" s="8">
        <f t="shared" si="10"/>
        <v>1.2434548449297587</v>
      </c>
      <c r="S80" s="12">
        <f t="shared" si="11"/>
        <v>0.53569632476016937</v>
      </c>
    </row>
    <row r="81" spans="1:19" x14ac:dyDescent="0.5">
      <c r="A81" s="8" t="s">
        <v>107</v>
      </c>
      <c r="B81" s="8">
        <v>4.3</v>
      </c>
      <c r="C81" s="8">
        <v>5.08</v>
      </c>
      <c r="D81" s="8">
        <v>2.41</v>
      </c>
      <c r="E81" s="8">
        <v>12.36</v>
      </c>
      <c r="F81" s="8">
        <v>7.16</v>
      </c>
      <c r="G81" s="8">
        <v>5.94</v>
      </c>
      <c r="H81" s="8">
        <v>6.63</v>
      </c>
      <c r="I81" s="9">
        <v>6.14</v>
      </c>
      <c r="J81" s="9">
        <v>11.15</v>
      </c>
      <c r="K81" s="9">
        <v>4.0999999999999996</v>
      </c>
      <c r="L81" s="9">
        <v>7.55</v>
      </c>
      <c r="M81" s="9">
        <v>7.28</v>
      </c>
      <c r="N81" s="9">
        <v>2.92</v>
      </c>
      <c r="O81" s="9">
        <v>15.18</v>
      </c>
      <c r="P81" s="8">
        <f t="shared" si="8"/>
        <v>6.2685714285714287</v>
      </c>
      <c r="Q81" s="8">
        <f t="shared" si="9"/>
        <v>7.76</v>
      </c>
      <c r="R81" s="8">
        <f t="shared" si="10"/>
        <v>1.2379216043755696</v>
      </c>
      <c r="S81" s="12">
        <f t="shared" si="11"/>
        <v>0.46572713714029446</v>
      </c>
    </row>
    <row r="82" spans="1:19" x14ac:dyDescent="0.5">
      <c r="A82" s="8" t="s">
        <v>108</v>
      </c>
      <c r="B82" s="8">
        <v>1339.75</v>
      </c>
      <c r="C82" s="8">
        <v>1379.46</v>
      </c>
      <c r="D82" s="8">
        <v>2060.46</v>
      </c>
      <c r="E82" s="8">
        <v>1525.99</v>
      </c>
      <c r="F82" s="8">
        <v>2141.6799999999998</v>
      </c>
      <c r="G82" s="8">
        <v>1136.68</v>
      </c>
      <c r="H82" s="8">
        <v>835.68</v>
      </c>
      <c r="I82" s="9">
        <v>2214.5</v>
      </c>
      <c r="J82" s="9">
        <v>2208.44</v>
      </c>
      <c r="K82" s="9">
        <v>1191.21</v>
      </c>
      <c r="L82" s="9">
        <v>2608.17</v>
      </c>
      <c r="M82" s="9">
        <v>1996.82</v>
      </c>
      <c r="N82" s="9">
        <v>970.98</v>
      </c>
      <c r="O82" s="9">
        <v>1674.24</v>
      </c>
      <c r="P82" s="8">
        <f t="shared" si="8"/>
        <v>1488.5285714285715</v>
      </c>
      <c r="Q82" s="8">
        <f t="shared" si="9"/>
        <v>1837.765714285714</v>
      </c>
      <c r="R82" s="8">
        <f t="shared" si="10"/>
        <v>1.2346190389358616</v>
      </c>
      <c r="S82" s="12">
        <f t="shared" si="11"/>
        <v>0.24536229436886869</v>
      </c>
    </row>
    <row r="83" spans="1:19" x14ac:dyDescent="0.5">
      <c r="A83" s="8" t="s">
        <v>109</v>
      </c>
      <c r="B83" s="8">
        <v>7292.09</v>
      </c>
      <c r="C83" s="8">
        <v>11729.38</v>
      </c>
      <c r="D83" s="8">
        <v>11140.27</v>
      </c>
      <c r="E83" s="8">
        <v>10187.34</v>
      </c>
      <c r="F83" s="8">
        <v>13127.58</v>
      </c>
      <c r="G83" s="8">
        <v>6106.27</v>
      </c>
      <c r="H83" s="8">
        <v>7480.59</v>
      </c>
      <c r="I83" s="9">
        <v>11862.9</v>
      </c>
      <c r="J83" s="9">
        <v>13946.57</v>
      </c>
      <c r="K83" s="9">
        <v>11309.81</v>
      </c>
      <c r="L83" s="9">
        <v>13830.88</v>
      </c>
      <c r="M83" s="9">
        <v>11652.18</v>
      </c>
      <c r="N83" s="9">
        <v>9786.56</v>
      </c>
      <c r="O83" s="9">
        <v>10198.59</v>
      </c>
      <c r="P83" s="8">
        <f t="shared" si="8"/>
        <v>9580.5028571428575</v>
      </c>
      <c r="Q83" s="8">
        <f t="shared" si="9"/>
        <v>11798.212857142857</v>
      </c>
      <c r="R83" s="8">
        <f t="shared" si="10"/>
        <v>1.2314815864124042</v>
      </c>
      <c r="S83" s="12">
        <f t="shared" si="11"/>
        <v>8.1990939007647756E-2</v>
      </c>
    </row>
    <row r="84" spans="1:19" x14ac:dyDescent="0.5">
      <c r="A84" s="8" t="s">
        <v>110</v>
      </c>
      <c r="B84" s="8">
        <v>3168.3</v>
      </c>
      <c r="C84" s="8">
        <v>3454.08</v>
      </c>
      <c r="D84" s="8">
        <v>3529.9</v>
      </c>
      <c r="E84" s="8">
        <v>2939.93</v>
      </c>
      <c r="F84" s="8">
        <v>3205.29</v>
      </c>
      <c r="G84" s="8">
        <v>3396.5</v>
      </c>
      <c r="H84" s="8">
        <v>3876.64</v>
      </c>
      <c r="I84" s="9">
        <v>4775.3100000000004</v>
      </c>
      <c r="J84" s="9">
        <v>4485.67</v>
      </c>
      <c r="K84" s="9">
        <v>5172.93</v>
      </c>
      <c r="L84" s="9">
        <v>4363.0200000000004</v>
      </c>
      <c r="M84" s="9">
        <v>3281.49</v>
      </c>
      <c r="N84" s="9">
        <v>3811.56</v>
      </c>
      <c r="O84" s="9">
        <v>2849.33</v>
      </c>
      <c r="P84" s="8">
        <f t="shared" si="8"/>
        <v>3367.2342857142858</v>
      </c>
      <c r="Q84" s="8">
        <f t="shared" si="9"/>
        <v>4105.6157142857137</v>
      </c>
      <c r="R84" s="8">
        <f t="shared" si="10"/>
        <v>1.2192842451456556</v>
      </c>
      <c r="S84" s="12">
        <f t="shared" si="11"/>
        <v>4.7211977430046272E-2</v>
      </c>
    </row>
    <row r="85" spans="1:19" x14ac:dyDescent="0.5">
      <c r="A85" s="11" t="s">
        <v>111</v>
      </c>
      <c r="B85" s="11">
        <v>7235.49</v>
      </c>
      <c r="C85" s="11">
        <v>8141.18</v>
      </c>
      <c r="D85" s="11">
        <v>7840.6</v>
      </c>
      <c r="E85" s="11">
        <v>7846.56</v>
      </c>
      <c r="F85" s="11">
        <v>7521.38</v>
      </c>
      <c r="G85" s="11">
        <v>7718.58</v>
      </c>
      <c r="H85" s="11">
        <v>6953.7</v>
      </c>
      <c r="I85" s="14">
        <v>9247.76</v>
      </c>
      <c r="J85" s="14">
        <v>9051.73</v>
      </c>
      <c r="K85" s="14">
        <v>8896.6299999999992</v>
      </c>
      <c r="L85" s="14">
        <v>9456.5</v>
      </c>
      <c r="M85" s="14">
        <v>8557.31</v>
      </c>
      <c r="N85" s="14">
        <v>8756.99</v>
      </c>
      <c r="O85" s="14">
        <v>9667.6299999999992</v>
      </c>
      <c r="P85" s="11">
        <f t="shared" si="8"/>
        <v>7608.2128571428566</v>
      </c>
      <c r="Q85" s="11">
        <f t="shared" si="9"/>
        <v>9090.6499999999978</v>
      </c>
      <c r="R85" s="11">
        <f t="shared" si="10"/>
        <v>1.1948469595544211</v>
      </c>
      <c r="S85" s="12">
        <f t="shared" si="11"/>
        <v>1.5284185558932485E-5</v>
      </c>
    </row>
    <row r="86" spans="1:19" x14ac:dyDescent="0.5">
      <c r="A86" s="8" t="s">
        <v>112</v>
      </c>
      <c r="B86" s="8">
        <v>3458.18</v>
      </c>
      <c r="C86" s="8">
        <v>3118.69</v>
      </c>
      <c r="D86" s="8">
        <v>6023.5487499999999</v>
      </c>
      <c r="E86" s="8">
        <v>3105.94</v>
      </c>
      <c r="F86" s="8">
        <v>1427.93</v>
      </c>
      <c r="G86" s="8">
        <v>1785.61</v>
      </c>
      <c r="H86" s="8">
        <v>1299.54</v>
      </c>
      <c r="I86" s="9">
        <v>6023.5487499999999</v>
      </c>
      <c r="J86" s="9">
        <v>6023.5487499999999</v>
      </c>
      <c r="K86" s="9">
        <v>2572.73</v>
      </c>
      <c r="L86" s="9">
        <v>2813.82</v>
      </c>
      <c r="M86" s="9">
        <v>2092.9699999999998</v>
      </c>
      <c r="N86" s="9">
        <v>1931.73</v>
      </c>
      <c r="O86" s="9">
        <v>2577.2399999999998</v>
      </c>
      <c r="P86" s="8">
        <f t="shared" si="8"/>
        <v>2888.49125</v>
      </c>
      <c r="Q86" s="8">
        <f t="shared" si="9"/>
        <v>3433.6553571428572</v>
      </c>
      <c r="R86" s="8">
        <f t="shared" si="10"/>
        <v>1.1887366309809169</v>
      </c>
      <c r="S86" s="12">
        <f t="shared" si="11"/>
        <v>0.56396102202893461</v>
      </c>
    </row>
    <row r="87" spans="1:19" x14ac:dyDescent="0.5">
      <c r="A87" s="8" t="s">
        <v>113</v>
      </c>
      <c r="B87" s="8">
        <v>14692.16</v>
      </c>
      <c r="C87" s="8">
        <v>13132.54</v>
      </c>
      <c r="D87" s="8">
        <v>18824.05</v>
      </c>
      <c r="E87" s="8">
        <v>35717.83</v>
      </c>
      <c r="F87" s="8">
        <v>39985.699999999997</v>
      </c>
      <c r="G87" s="8">
        <v>21649.02</v>
      </c>
      <c r="H87" s="8">
        <v>18309.36</v>
      </c>
      <c r="I87" s="9">
        <v>22345.72</v>
      </c>
      <c r="J87" s="9">
        <v>25125.53</v>
      </c>
      <c r="K87" s="9">
        <v>32131.01</v>
      </c>
      <c r="L87" s="9">
        <v>34467.24</v>
      </c>
      <c r="M87" s="9">
        <v>31693.360000000001</v>
      </c>
      <c r="N87" s="9">
        <v>11334.46</v>
      </c>
      <c r="O87" s="9">
        <v>35400.29</v>
      </c>
      <c r="P87" s="8">
        <f t="shared" si="8"/>
        <v>23187.237142857139</v>
      </c>
      <c r="Q87" s="8">
        <f t="shared" si="9"/>
        <v>27499.658571428568</v>
      </c>
      <c r="R87" s="8">
        <f t="shared" si="10"/>
        <v>1.1859825472954149</v>
      </c>
      <c r="S87" s="12">
        <f t="shared" si="11"/>
        <v>0.41614461640851585</v>
      </c>
    </row>
    <row r="88" spans="1:19" x14ac:dyDescent="0.5">
      <c r="A88" s="8" t="s">
        <v>114</v>
      </c>
      <c r="B88" s="8">
        <v>392.44</v>
      </c>
      <c r="C88" s="8">
        <v>485.92</v>
      </c>
      <c r="D88" s="8">
        <v>352.13</v>
      </c>
      <c r="E88" s="8">
        <v>441.21</v>
      </c>
      <c r="F88" s="8">
        <v>357.63</v>
      </c>
      <c r="G88" s="8">
        <v>281.85000000000002</v>
      </c>
      <c r="H88" s="8">
        <v>273.92</v>
      </c>
      <c r="I88" s="9">
        <v>515.9</v>
      </c>
      <c r="J88" s="9">
        <v>370.07</v>
      </c>
      <c r="K88" s="9">
        <v>594.84</v>
      </c>
      <c r="L88" s="9">
        <v>384.05</v>
      </c>
      <c r="M88" s="9">
        <v>638.29</v>
      </c>
      <c r="N88" s="9">
        <v>278.2</v>
      </c>
      <c r="O88" s="9">
        <v>255.38</v>
      </c>
      <c r="P88" s="8">
        <f t="shared" si="8"/>
        <v>369.3</v>
      </c>
      <c r="Q88" s="8">
        <f t="shared" si="9"/>
        <v>433.81857142857137</v>
      </c>
      <c r="R88" s="8">
        <f t="shared" si="10"/>
        <v>1.1747050404239678</v>
      </c>
      <c r="S88" s="12">
        <f t="shared" si="11"/>
        <v>0.33534728536263647</v>
      </c>
    </row>
    <row r="89" spans="1:19" x14ac:dyDescent="0.5">
      <c r="A89" s="8" t="s">
        <v>115</v>
      </c>
      <c r="B89" s="8">
        <v>652.19000000000005</v>
      </c>
      <c r="C89" s="8">
        <v>253.27</v>
      </c>
      <c r="D89" s="8">
        <v>1704.43</v>
      </c>
      <c r="E89" s="8">
        <v>614.15</v>
      </c>
      <c r="F89" s="8">
        <v>343.84</v>
      </c>
      <c r="G89" s="8">
        <v>691.67</v>
      </c>
      <c r="H89" s="8">
        <v>219.9</v>
      </c>
      <c r="I89" s="9">
        <v>656.67</v>
      </c>
      <c r="J89" s="9">
        <v>1046.45</v>
      </c>
      <c r="K89" s="9">
        <v>892.88</v>
      </c>
      <c r="L89" s="9">
        <v>1055.07</v>
      </c>
      <c r="M89" s="9">
        <v>591.24</v>
      </c>
      <c r="N89" s="9">
        <v>330.49</v>
      </c>
      <c r="O89" s="9">
        <v>638.32000000000005</v>
      </c>
      <c r="P89" s="8">
        <f t="shared" si="8"/>
        <v>639.92142857142858</v>
      </c>
      <c r="Q89" s="8">
        <f t="shared" si="9"/>
        <v>744.44571428571419</v>
      </c>
      <c r="R89" s="8">
        <f t="shared" si="10"/>
        <v>1.1633392492381875</v>
      </c>
      <c r="S89" s="12">
        <f t="shared" si="11"/>
        <v>0.6383659852758341</v>
      </c>
    </row>
    <row r="90" spans="1:19" x14ac:dyDescent="0.5">
      <c r="A90" s="8" t="s">
        <v>116</v>
      </c>
      <c r="B90" s="8">
        <v>12746.51</v>
      </c>
      <c r="C90" s="8">
        <v>11053.12</v>
      </c>
      <c r="D90" s="8">
        <v>11073.32</v>
      </c>
      <c r="E90" s="8">
        <v>15188.38</v>
      </c>
      <c r="F90" s="8">
        <v>17428.650000000001</v>
      </c>
      <c r="G90" s="8">
        <v>12227.46</v>
      </c>
      <c r="H90" s="8">
        <v>10487.77</v>
      </c>
      <c r="I90" s="9">
        <v>9069.91</v>
      </c>
      <c r="J90" s="9">
        <v>16919.86</v>
      </c>
      <c r="K90" s="9">
        <v>13817.87</v>
      </c>
      <c r="L90" s="9">
        <v>16380.93</v>
      </c>
      <c r="M90" s="9">
        <v>14326.91</v>
      </c>
      <c r="N90" s="9">
        <v>16028.26</v>
      </c>
      <c r="O90" s="9">
        <v>18269.93</v>
      </c>
      <c r="P90" s="8">
        <f t="shared" si="8"/>
        <v>12886.458571428573</v>
      </c>
      <c r="Q90" s="8">
        <f t="shared" si="9"/>
        <v>14973.381428571427</v>
      </c>
      <c r="R90" s="8">
        <f t="shared" si="10"/>
        <v>1.1619469651475782</v>
      </c>
      <c r="S90" s="12">
        <f t="shared" si="11"/>
        <v>0.18642471331937321</v>
      </c>
    </row>
    <row r="91" spans="1:19" x14ac:dyDescent="0.5">
      <c r="A91" s="8" t="s">
        <v>117</v>
      </c>
      <c r="B91" s="8">
        <v>76.959999999999994</v>
      </c>
      <c r="C91" s="8">
        <v>44.27</v>
      </c>
      <c r="D91" s="8">
        <v>9.35</v>
      </c>
      <c r="E91" s="8">
        <v>20.75</v>
      </c>
      <c r="F91" s="8">
        <v>18.850000000000001</v>
      </c>
      <c r="G91" s="8">
        <v>10.83</v>
      </c>
      <c r="H91" s="8">
        <v>15.39</v>
      </c>
      <c r="I91" s="9">
        <v>68.42</v>
      </c>
      <c r="J91" s="9">
        <v>27.44</v>
      </c>
      <c r="K91" s="9">
        <v>13.76</v>
      </c>
      <c r="L91" s="9">
        <v>25.18</v>
      </c>
      <c r="M91" s="9">
        <v>40.51</v>
      </c>
      <c r="N91" s="9">
        <v>36.409999999999997</v>
      </c>
      <c r="O91" s="9">
        <v>13.36</v>
      </c>
      <c r="P91" s="8">
        <f t="shared" si="8"/>
        <v>28.057142857142853</v>
      </c>
      <c r="Q91" s="8">
        <f t="shared" si="9"/>
        <v>32.154285714285713</v>
      </c>
      <c r="R91" s="8">
        <f t="shared" si="10"/>
        <v>1.1460285132382892</v>
      </c>
      <c r="S91" s="12">
        <f t="shared" si="11"/>
        <v>0.73262425600327141</v>
      </c>
    </row>
    <row r="92" spans="1:19" x14ac:dyDescent="0.5">
      <c r="A92" s="8" t="s">
        <v>118</v>
      </c>
      <c r="B92" s="8">
        <v>20988.41</v>
      </c>
      <c r="C92" s="8">
        <v>18262.43</v>
      </c>
      <c r="D92" s="8">
        <v>15498.28</v>
      </c>
      <c r="E92" s="8">
        <v>16045.37</v>
      </c>
      <c r="F92" s="8">
        <v>14228.18</v>
      </c>
      <c r="G92" s="8">
        <v>12741.22</v>
      </c>
      <c r="H92" s="8">
        <v>17776.810000000001</v>
      </c>
      <c r="I92" s="9">
        <v>21196.68</v>
      </c>
      <c r="J92" s="9">
        <v>24832.838749999999</v>
      </c>
      <c r="K92" s="9">
        <v>16478.259999999998</v>
      </c>
      <c r="L92" s="9">
        <v>18581.759999999998</v>
      </c>
      <c r="M92" s="9">
        <v>17844.66</v>
      </c>
      <c r="N92" s="9">
        <v>18602.349999999999</v>
      </c>
      <c r="O92" s="9">
        <v>14664.09</v>
      </c>
      <c r="P92" s="8">
        <f t="shared" si="8"/>
        <v>16505.814285714285</v>
      </c>
      <c r="Q92" s="8">
        <f t="shared" si="9"/>
        <v>18885.805535714284</v>
      </c>
      <c r="R92" s="8">
        <f t="shared" si="10"/>
        <v>1.1441910837479778</v>
      </c>
      <c r="S92" s="12">
        <f t="shared" si="11"/>
        <v>0.16883339436377587</v>
      </c>
    </row>
    <row r="93" spans="1:19" x14ac:dyDescent="0.5">
      <c r="A93" s="8" t="s">
        <v>119</v>
      </c>
      <c r="B93" s="8">
        <v>451.37</v>
      </c>
      <c r="C93" s="8">
        <v>803.45</v>
      </c>
      <c r="D93" s="8">
        <v>382.72</v>
      </c>
      <c r="E93" s="8">
        <v>569.01</v>
      </c>
      <c r="F93" s="8">
        <v>927.87</v>
      </c>
      <c r="G93" s="8">
        <v>321.27999999999997</v>
      </c>
      <c r="H93" s="8">
        <v>570.59</v>
      </c>
      <c r="I93" s="9">
        <v>838.66</v>
      </c>
      <c r="J93" s="9">
        <v>685.85</v>
      </c>
      <c r="K93" s="9">
        <v>485.43</v>
      </c>
      <c r="L93" s="9">
        <v>738.47</v>
      </c>
      <c r="M93" s="9">
        <v>483.14</v>
      </c>
      <c r="N93" s="9">
        <v>549.33000000000004</v>
      </c>
      <c r="O93" s="9">
        <v>810.73</v>
      </c>
      <c r="P93" s="8">
        <f t="shared" si="8"/>
        <v>575.18428571428569</v>
      </c>
      <c r="Q93" s="8">
        <f t="shared" si="9"/>
        <v>655.94428571428568</v>
      </c>
      <c r="R93" s="8">
        <f t="shared" si="10"/>
        <v>1.1404071738498718</v>
      </c>
      <c r="S93" s="12">
        <f t="shared" si="11"/>
        <v>0.43963866420371989</v>
      </c>
    </row>
    <row r="94" spans="1:19" x14ac:dyDescent="0.5">
      <c r="A94" s="8" t="s">
        <v>120</v>
      </c>
      <c r="B94" s="8">
        <v>12877.3</v>
      </c>
      <c r="C94" s="8">
        <v>8583.35</v>
      </c>
      <c r="D94" s="8">
        <v>7065.52</v>
      </c>
      <c r="E94" s="8">
        <v>4004.86</v>
      </c>
      <c r="F94" s="8">
        <v>9181.36</v>
      </c>
      <c r="G94" s="8">
        <v>5417.71</v>
      </c>
      <c r="H94" s="8">
        <v>4328.6000000000004</v>
      </c>
      <c r="I94" s="9">
        <v>8289.41</v>
      </c>
      <c r="J94" s="9">
        <v>8975.64</v>
      </c>
      <c r="K94" s="9">
        <v>5073.63</v>
      </c>
      <c r="L94" s="9">
        <v>12388.41</v>
      </c>
      <c r="M94" s="9">
        <v>10993.36</v>
      </c>
      <c r="N94" s="9">
        <v>4012.67</v>
      </c>
      <c r="O94" s="9">
        <v>8510.67</v>
      </c>
      <c r="P94" s="8">
        <f t="shared" si="8"/>
        <v>7351.2428571428563</v>
      </c>
      <c r="Q94" s="8">
        <f t="shared" si="9"/>
        <v>8320.5414285714269</v>
      </c>
      <c r="R94" s="8">
        <f t="shared" si="10"/>
        <v>1.1318550604659658</v>
      </c>
      <c r="S94" s="12">
        <f t="shared" si="11"/>
        <v>0.56521585455340251</v>
      </c>
    </row>
    <row r="95" spans="1:19" x14ac:dyDescent="0.5">
      <c r="A95" s="8" t="s">
        <v>121</v>
      </c>
      <c r="B95" s="8">
        <v>55786.71</v>
      </c>
      <c r="C95" s="8">
        <v>62174.1</v>
      </c>
      <c r="D95" s="8">
        <v>62091.98</v>
      </c>
      <c r="E95" s="8">
        <v>30523.33625</v>
      </c>
      <c r="F95" s="8">
        <v>61495</v>
      </c>
      <c r="G95" s="8">
        <v>49101.82</v>
      </c>
      <c r="H95" s="8">
        <v>58322.68</v>
      </c>
      <c r="I95" s="9">
        <v>58444.83</v>
      </c>
      <c r="J95" s="9">
        <v>55666</v>
      </c>
      <c r="K95" s="9">
        <v>80325.179999999993</v>
      </c>
      <c r="L95" s="9">
        <v>64703.28</v>
      </c>
      <c r="M95" s="9">
        <v>48454.71</v>
      </c>
      <c r="N95" s="9">
        <v>65391.18</v>
      </c>
      <c r="O95" s="9">
        <v>56132.14</v>
      </c>
      <c r="P95" s="8">
        <f t="shared" si="8"/>
        <v>54213.660892857137</v>
      </c>
      <c r="Q95" s="8">
        <f t="shared" si="9"/>
        <v>61302.474285714285</v>
      </c>
      <c r="R95" s="8">
        <f t="shared" si="10"/>
        <v>1.1307569582298975</v>
      </c>
      <c r="S95" s="12">
        <f t="shared" si="11"/>
        <v>0.24417315138051285</v>
      </c>
    </row>
    <row r="96" spans="1:19" x14ac:dyDescent="0.5">
      <c r="A96" s="8" t="s">
        <v>122</v>
      </c>
      <c r="B96" s="8">
        <v>208.49</v>
      </c>
      <c r="C96" s="8">
        <v>205.07</v>
      </c>
      <c r="D96" s="8">
        <v>277.02</v>
      </c>
      <c r="E96" s="8">
        <v>387.23</v>
      </c>
      <c r="F96" s="8">
        <v>499.39</v>
      </c>
      <c r="G96" s="8">
        <v>280.60000000000002</v>
      </c>
      <c r="H96" s="8">
        <v>249.82</v>
      </c>
      <c r="I96" s="9">
        <v>225.49</v>
      </c>
      <c r="J96" s="9">
        <v>380.34</v>
      </c>
      <c r="K96" s="9">
        <v>281.85000000000002</v>
      </c>
      <c r="L96" s="9">
        <v>410.7</v>
      </c>
      <c r="M96" s="9">
        <v>383.93</v>
      </c>
      <c r="N96" s="9">
        <v>187.64</v>
      </c>
      <c r="O96" s="9">
        <v>500.4</v>
      </c>
      <c r="P96" s="8">
        <f t="shared" si="8"/>
        <v>301.08857142857141</v>
      </c>
      <c r="Q96" s="8">
        <f t="shared" si="9"/>
        <v>338.62142857142857</v>
      </c>
      <c r="R96" s="8">
        <f t="shared" si="10"/>
        <v>1.1246571962687772</v>
      </c>
      <c r="S96" s="12">
        <f t="shared" si="11"/>
        <v>0.53096024991494462</v>
      </c>
    </row>
    <row r="97" spans="1:19" x14ac:dyDescent="0.5">
      <c r="A97" s="8" t="s">
        <v>123</v>
      </c>
      <c r="B97" s="8">
        <v>843.28</v>
      </c>
      <c r="C97" s="8">
        <v>691.99</v>
      </c>
      <c r="D97" s="8">
        <v>1365.66</v>
      </c>
      <c r="E97" s="8">
        <v>460.83</v>
      </c>
      <c r="F97" s="8">
        <v>937.86</v>
      </c>
      <c r="G97" s="8">
        <v>603.79999999999995</v>
      </c>
      <c r="H97" s="8">
        <v>1572.89</v>
      </c>
      <c r="I97" s="9">
        <v>840.24</v>
      </c>
      <c r="J97" s="9">
        <v>1184.98</v>
      </c>
      <c r="K97" s="9">
        <v>724.29</v>
      </c>
      <c r="L97" s="9">
        <v>1116.3699999999999</v>
      </c>
      <c r="M97" s="9">
        <v>1782.6</v>
      </c>
      <c r="N97" s="9">
        <v>411.88</v>
      </c>
      <c r="O97" s="9">
        <v>1123.8599999999999</v>
      </c>
      <c r="P97" s="8">
        <f t="shared" si="8"/>
        <v>925.18714285714293</v>
      </c>
      <c r="Q97" s="8">
        <f t="shared" si="9"/>
        <v>1026.3171428571427</v>
      </c>
      <c r="R97" s="8">
        <f t="shared" si="10"/>
        <v>1.1093076149844585</v>
      </c>
      <c r="S97" s="12">
        <f t="shared" si="11"/>
        <v>0.66003285793832012</v>
      </c>
    </row>
    <row r="98" spans="1:19" x14ac:dyDescent="0.5">
      <c r="A98" s="8" t="s">
        <v>124</v>
      </c>
      <c r="B98" s="8">
        <v>20386.759999999998</v>
      </c>
      <c r="C98" s="8">
        <v>21625.14</v>
      </c>
      <c r="D98" s="8">
        <v>18944.939999999999</v>
      </c>
      <c r="E98" s="8">
        <v>21411.37</v>
      </c>
      <c r="F98" s="8">
        <v>22277.05</v>
      </c>
      <c r="G98" s="8">
        <v>15667.635</v>
      </c>
      <c r="H98" s="8">
        <v>17439.36</v>
      </c>
      <c r="I98" s="9">
        <v>21922.21</v>
      </c>
      <c r="J98" s="9">
        <v>25400.095000000001</v>
      </c>
      <c r="K98" s="9">
        <v>20295.650000000001</v>
      </c>
      <c r="L98" s="9">
        <v>23090.83</v>
      </c>
      <c r="M98" s="9">
        <v>19774.78</v>
      </c>
      <c r="N98" s="9">
        <v>19441.43</v>
      </c>
      <c r="O98" s="9">
        <v>19603.03</v>
      </c>
      <c r="P98" s="8">
        <f t="shared" ref="P98:P119" si="12">AVERAGE(B98:H98)</f>
        <v>19678.893571428573</v>
      </c>
      <c r="Q98" s="8">
        <f t="shared" ref="Q98:Q119" si="13">AVERAGE(I98:O98)</f>
        <v>21361.146428571428</v>
      </c>
      <c r="R98" s="8">
        <f t="shared" ref="R98:R119" si="14">Q98/P98</f>
        <v>1.0854851341635023</v>
      </c>
      <c r="S98" s="12">
        <f t="shared" ref="S98:S119" si="15">_xlfn.T.TEST(B98:H98,I98:O98,2,2)</f>
        <v>0.20358952058499363</v>
      </c>
    </row>
    <row r="99" spans="1:19" x14ac:dyDescent="0.5">
      <c r="A99" s="8" t="s">
        <v>125</v>
      </c>
      <c r="B99" s="8">
        <v>137.19999999999999</v>
      </c>
      <c r="C99" s="8">
        <v>166.61</v>
      </c>
      <c r="D99" s="8">
        <v>319.02</v>
      </c>
      <c r="E99" s="8">
        <v>121.12</v>
      </c>
      <c r="F99" s="8">
        <v>221.38</v>
      </c>
      <c r="G99" s="8">
        <v>105.52</v>
      </c>
      <c r="H99" s="8">
        <v>92.58</v>
      </c>
      <c r="I99" s="9">
        <v>148.1</v>
      </c>
      <c r="J99" s="9">
        <v>206.85</v>
      </c>
      <c r="K99" s="9">
        <v>189.09</v>
      </c>
      <c r="L99" s="9">
        <v>242.11</v>
      </c>
      <c r="M99" s="9">
        <v>198.4</v>
      </c>
      <c r="N99" s="9">
        <v>85.58</v>
      </c>
      <c r="O99" s="9">
        <v>187.21</v>
      </c>
      <c r="P99" s="8">
        <f t="shared" si="12"/>
        <v>166.2042857142857</v>
      </c>
      <c r="Q99" s="8">
        <f t="shared" si="13"/>
        <v>179.61999999999998</v>
      </c>
      <c r="R99" s="8">
        <f t="shared" si="14"/>
        <v>1.080718221122027</v>
      </c>
      <c r="S99" s="12">
        <f t="shared" si="15"/>
        <v>0.71319613430924522</v>
      </c>
    </row>
    <row r="100" spans="1:19" x14ac:dyDescent="0.5">
      <c r="A100" s="8" t="s">
        <v>126</v>
      </c>
      <c r="B100" s="8">
        <v>97425.279999999999</v>
      </c>
      <c r="C100" s="8">
        <v>97935.64</v>
      </c>
      <c r="D100" s="8">
        <v>100512.16</v>
      </c>
      <c r="E100" s="8">
        <v>94765.18</v>
      </c>
      <c r="F100" s="8">
        <v>98605.85</v>
      </c>
      <c r="G100" s="8">
        <v>83155.136249999996</v>
      </c>
      <c r="H100" s="8">
        <v>84047.98</v>
      </c>
      <c r="I100" s="9">
        <v>109105.28</v>
      </c>
      <c r="J100" s="9">
        <v>112462.00625000001</v>
      </c>
      <c r="K100" s="9">
        <v>100883.45</v>
      </c>
      <c r="L100" s="9">
        <v>103379.43</v>
      </c>
      <c r="M100" s="9">
        <v>98865.53</v>
      </c>
      <c r="N100" s="9">
        <v>99408.51</v>
      </c>
      <c r="O100" s="9">
        <v>83155.136249999996</v>
      </c>
      <c r="P100" s="8">
        <f t="shared" si="12"/>
        <v>93778.175178571415</v>
      </c>
      <c r="Q100" s="8">
        <f t="shared" si="13"/>
        <v>101037.04892857143</v>
      </c>
      <c r="R100" s="8">
        <f t="shared" si="14"/>
        <v>1.0774047238195641</v>
      </c>
      <c r="S100" s="12">
        <f t="shared" si="15"/>
        <v>0.12969042678066631</v>
      </c>
    </row>
    <row r="101" spans="1:19" x14ac:dyDescent="0.5">
      <c r="A101" s="8" t="s">
        <v>127</v>
      </c>
      <c r="B101" s="8">
        <v>376.38</v>
      </c>
      <c r="C101" s="8">
        <v>735</v>
      </c>
      <c r="D101" s="8">
        <v>341.4</v>
      </c>
      <c r="E101" s="8">
        <v>261.06</v>
      </c>
      <c r="F101" s="8">
        <v>535.84</v>
      </c>
      <c r="G101" s="8">
        <v>189.79</v>
      </c>
      <c r="H101" s="8">
        <v>387.97</v>
      </c>
      <c r="I101" s="9">
        <v>410.94</v>
      </c>
      <c r="J101" s="9">
        <v>644.72</v>
      </c>
      <c r="K101" s="9">
        <v>289.99</v>
      </c>
      <c r="L101" s="9">
        <v>555.08000000000004</v>
      </c>
      <c r="M101" s="9">
        <v>376.88</v>
      </c>
      <c r="N101" s="9">
        <v>192.29</v>
      </c>
      <c r="O101" s="9">
        <v>575.84</v>
      </c>
      <c r="P101" s="8">
        <f t="shared" si="12"/>
        <v>403.92000000000007</v>
      </c>
      <c r="Q101" s="8">
        <f t="shared" si="13"/>
        <v>435.10571428571433</v>
      </c>
      <c r="R101" s="8">
        <f t="shared" si="14"/>
        <v>1.0772076507370625</v>
      </c>
      <c r="S101" s="12">
        <f t="shared" si="15"/>
        <v>0.74216550416203186</v>
      </c>
    </row>
    <row r="102" spans="1:19" x14ac:dyDescent="0.5">
      <c r="A102" s="8" t="s">
        <v>128</v>
      </c>
      <c r="B102" s="8">
        <v>219.29</v>
      </c>
      <c r="C102" s="8">
        <v>380.41</v>
      </c>
      <c r="D102" s="8">
        <v>215.32</v>
      </c>
      <c r="E102" s="8">
        <v>159.61000000000001</v>
      </c>
      <c r="F102" s="8">
        <v>1101.02</v>
      </c>
      <c r="G102" s="8">
        <v>545.85</v>
      </c>
      <c r="H102" s="8">
        <v>230.75</v>
      </c>
      <c r="I102" s="9">
        <v>267.66000000000003</v>
      </c>
      <c r="J102" s="9">
        <v>318.44</v>
      </c>
      <c r="K102" s="9">
        <v>173.56</v>
      </c>
      <c r="L102" s="9">
        <v>765.16</v>
      </c>
      <c r="M102" s="9">
        <v>685.41</v>
      </c>
      <c r="N102" s="9">
        <v>314.27999999999997</v>
      </c>
      <c r="O102" s="9">
        <v>497.07</v>
      </c>
      <c r="P102" s="8">
        <f t="shared" si="12"/>
        <v>407.46428571428572</v>
      </c>
      <c r="Q102" s="8">
        <f t="shared" si="13"/>
        <v>431.65428571428578</v>
      </c>
      <c r="R102" s="8">
        <f t="shared" si="14"/>
        <v>1.0593671662722413</v>
      </c>
      <c r="S102" s="12">
        <f t="shared" si="15"/>
        <v>0.87591786137906991</v>
      </c>
    </row>
    <row r="103" spans="1:19" s="11" customFormat="1" x14ac:dyDescent="0.5">
      <c r="A103" s="8" t="s">
        <v>129</v>
      </c>
      <c r="B103" s="8">
        <v>203.46</v>
      </c>
      <c r="C103" s="8">
        <v>222.16</v>
      </c>
      <c r="D103" s="8">
        <v>22.48</v>
      </c>
      <c r="E103" s="8">
        <v>24.14</v>
      </c>
      <c r="F103" s="8">
        <v>46.17</v>
      </c>
      <c r="G103" s="8">
        <v>22.89</v>
      </c>
      <c r="H103" s="8">
        <v>48.71</v>
      </c>
      <c r="I103" s="9">
        <v>219.41</v>
      </c>
      <c r="J103" s="9">
        <v>97.45</v>
      </c>
      <c r="K103" s="9">
        <v>71.150000000000006</v>
      </c>
      <c r="L103" s="9">
        <v>2.2480000000000002</v>
      </c>
      <c r="M103" s="9">
        <v>79.28</v>
      </c>
      <c r="N103" s="9">
        <v>43.04</v>
      </c>
      <c r="O103" s="9">
        <v>111.19</v>
      </c>
      <c r="P103" s="8">
        <f t="shared" si="12"/>
        <v>84.287142857142854</v>
      </c>
      <c r="Q103" s="8">
        <f t="shared" si="13"/>
        <v>89.10971428571429</v>
      </c>
      <c r="R103" s="8">
        <f t="shared" si="14"/>
        <v>1.0572159793901799</v>
      </c>
      <c r="S103" s="12">
        <f t="shared" si="15"/>
        <v>0.91088495221084198</v>
      </c>
    </row>
    <row r="104" spans="1:19" x14ac:dyDescent="0.5">
      <c r="A104" s="8" t="s">
        <v>130</v>
      </c>
      <c r="B104" s="8">
        <v>64905.64</v>
      </c>
      <c r="C104" s="8">
        <v>69631.210000000006</v>
      </c>
      <c r="D104" s="8">
        <v>76575.28</v>
      </c>
      <c r="E104" s="8">
        <v>74353.77</v>
      </c>
      <c r="F104" s="8">
        <v>58247.45</v>
      </c>
      <c r="G104" s="8">
        <v>62425.18</v>
      </c>
      <c r="H104" s="8">
        <v>62916.22</v>
      </c>
      <c r="I104" s="9">
        <v>63036.32</v>
      </c>
      <c r="J104" s="9">
        <v>65384.03</v>
      </c>
      <c r="K104" s="9">
        <v>75796.36</v>
      </c>
      <c r="L104" s="9">
        <v>49696.2</v>
      </c>
      <c r="M104" s="9">
        <v>67399.37</v>
      </c>
      <c r="N104" s="9">
        <v>83834.880000000005</v>
      </c>
      <c r="O104" s="9">
        <v>66959.67</v>
      </c>
      <c r="P104" s="8">
        <f t="shared" si="12"/>
        <v>67007.821428571435</v>
      </c>
      <c r="Q104" s="8">
        <f t="shared" si="13"/>
        <v>67443.832857142857</v>
      </c>
      <c r="R104" s="8">
        <f t="shared" si="14"/>
        <v>1.0065068736645348</v>
      </c>
      <c r="S104" s="12">
        <f t="shared" si="15"/>
        <v>0.92841470839257223</v>
      </c>
    </row>
    <row r="105" spans="1:19" x14ac:dyDescent="0.5">
      <c r="A105" s="8" t="s">
        <v>131</v>
      </c>
      <c r="B105" s="8">
        <v>8698.56</v>
      </c>
      <c r="C105" s="8">
        <v>9627.77</v>
      </c>
      <c r="D105" s="8">
        <v>8936.59</v>
      </c>
      <c r="E105" s="8">
        <v>7962.18</v>
      </c>
      <c r="F105" s="8">
        <v>9684.1299999999992</v>
      </c>
      <c r="G105" s="8">
        <v>6831.0275000000001</v>
      </c>
      <c r="H105" s="8">
        <v>8765.41</v>
      </c>
      <c r="I105" s="9">
        <v>9175.06</v>
      </c>
      <c r="J105" s="9">
        <v>9430.34</v>
      </c>
      <c r="K105" s="9">
        <v>8668.65</v>
      </c>
      <c r="L105" s="9">
        <v>8441.93</v>
      </c>
      <c r="M105" s="9">
        <v>8790.66</v>
      </c>
      <c r="N105" s="9">
        <v>8500.89</v>
      </c>
      <c r="O105" s="9">
        <v>6831.0275000000001</v>
      </c>
      <c r="P105" s="8">
        <f t="shared" si="12"/>
        <v>8643.6667857142875</v>
      </c>
      <c r="Q105" s="8">
        <f t="shared" si="13"/>
        <v>8548.3653571428567</v>
      </c>
      <c r="R105" s="8">
        <f t="shared" si="14"/>
        <v>0.98897442128045254</v>
      </c>
      <c r="S105" s="12">
        <f t="shared" si="15"/>
        <v>0.84924418212920016</v>
      </c>
    </row>
    <row r="106" spans="1:19" x14ac:dyDescent="0.5">
      <c r="A106" s="8" t="s">
        <v>132</v>
      </c>
      <c r="B106" s="8">
        <v>13498.94</v>
      </c>
      <c r="C106" s="8">
        <v>19402.63</v>
      </c>
      <c r="D106" s="8">
        <v>16323.63</v>
      </c>
      <c r="E106" s="8">
        <v>21315.95</v>
      </c>
      <c r="F106" s="8">
        <v>17731.16</v>
      </c>
      <c r="G106" s="8">
        <v>16724.91</v>
      </c>
      <c r="H106" s="8">
        <v>15381.52</v>
      </c>
      <c r="I106" s="9">
        <v>16546.97</v>
      </c>
      <c r="J106" s="9">
        <v>21475.279999999999</v>
      </c>
      <c r="K106" s="9">
        <v>18815.55</v>
      </c>
      <c r="L106" s="9">
        <v>19588.93</v>
      </c>
      <c r="M106" s="9">
        <v>14678.94</v>
      </c>
      <c r="N106" s="9">
        <v>13554.67</v>
      </c>
      <c r="O106" s="9">
        <v>14101.49</v>
      </c>
      <c r="P106" s="8">
        <f t="shared" si="12"/>
        <v>17196.962857142858</v>
      </c>
      <c r="Q106" s="8">
        <f t="shared" si="13"/>
        <v>16965.975714285716</v>
      </c>
      <c r="R106" s="8">
        <f t="shared" si="14"/>
        <v>0.98656814317877062</v>
      </c>
      <c r="S106" s="12">
        <f t="shared" si="15"/>
        <v>0.88108091322450988</v>
      </c>
    </row>
    <row r="107" spans="1:19" x14ac:dyDescent="0.5">
      <c r="A107" s="8" t="s">
        <v>133</v>
      </c>
      <c r="B107" s="8">
        <v>3169.71</v>
      </c>
      <c r="C107" s="8">
        <v>3423.6</v>
      </c>
      <c r="D107" s="8">
        <v>3164.05</v>
      </c>
      <c r="E107" s="8">
        <v>3100.84</v>
      </c>
      <c r="F107" s="8">
        <v>2729.82</v>
      </c>
      <c r="G107" s="8">
        <v>2957.64</v>
      </c>
      <c r="H107" s="8">
        <v>2790.33</v>
      </c>
      <c r="I107" s="9">
        <v>3137.72</v>
      </c>
      <c r="J107" s="9">
        <v>3207.92</v>
      </c>
      <c r="K107" s="9">
        <v>2931.61</v>
      </c>
      <c r="L107" s="9">
        <v>3005.51</v>
      </c>
      <c r="M107" s="9">
        <v>2691.62</v>
      </c>
      <c r="N107" s="9">
        <v>2902.95</v>
      </c>
      <c r="O107" s="9">
        <v>2438.79</v>
      </c>
      <c r="P107" s="8">
        <f t="shared" si="12"/>
        <v>3047.9985714285713</v>
      </c>
      <c r="Q107" s="8">
        <f t="shared" si="13"/>
        <v>2902.3028571428576</v>
      </c>
      <c r="R107" s="8">
        <f t="shared" si="14"/>
        <v>0.95219954640023752</v>
      </c>
      <c r="S107" s="12">
        <f t="shared" si="15"/>
        <v>0.30232240462749976</v>
      </c>
    </row>
    <row r="108" spans="1:19" x14ac:dyDescent="0.5">
      <c r="A108" s="8" t="s">
        <v>134</v>
      </c>
      <c r="B108" s="8">
        <v>1029.55</v>
      </c>
      <c r="C108" s="8">
        <v>362.5</v>
      </c>
      <c r="D108" s="8">
        <v>1057.3499999999999</v>
      </c>
      <c r="E108" s="8">
        <v>545.84</v>
      </c>
      <c r="F108" s="8">
        <v>954.74</v>
      </c>
      <c r="G108" s="8">
        <v>468.15</v>
      </c>
      <c r="H108" s="8">
        <v>219.41</v>
      </c>
      <c r="I108" s="9">
        <v>641.45000000000005</v>
      </c>
      <c r="J108" s="9">
        <v>455.21</v>
      </c>
      <c r="K108" s="9">
        <v>446.66</v>
      </c>
      <c r="L108" s="9">
        <v>819.27</v>
      </c>
      <c r="M108" s="9">
        <v>1308.03</v>
      </c>
      <c r="N108" s="9">
        <v>357.63</v>
      </c>
      <c r="O108" s="9">
        <v>375.35</v>
      </c>
      <c r="P108" s="8">
        <f t="shared" si="12"/>
        <v>662.50571428571413</v>
      </c>
      <c r="Q108" s="8">
        <f t="shared" si="13"/>
        <v>629.08571428571429</v>
      </c>
      <c r="R108" s="8">
        <f t="shared" si="14"/>
        <v>0.94955515208494179</v>
      </c>
      <c r="S108" s="12">
        <f t="shared" si="15"/>
        <v>0.85844475274852805</v>
      </c>
    </row>
    <row r="109" spans="1:19" x14ac:dyDescent="0.5">
      <c r="A109" s="8" t="s">
        <v>135</v>
      </c>
      <c r="B109" s="8">
        <v>4441.83</v>
      </c>
      <c r="C109" s="8">
        <v>4795.13</v>
      </c>
      <c r="D109" s="8">
        <v>3154.39</v>
      </c>
      <c r="E109" s="8">
        <v>2536.2399999999998</v>
      </c>
      <c r="F109" s="8">
        <v>4340.42</v>
      </c>
      <c r="G109" s="8">
        <v>3698.99</v>
      </c>
      <c r="H109" s="8">
        <v>4035.81</v>
      </c>
      <c r="I109" s="9">
        <v>3595.59</v>
      </c>
      <c r="J109" s="9">
        <v>3477.16</v>
      </c>
      <c r="K109" s="9">
        <v>2975.74</v>
      </c>
      <c r="L109" s="9">
        <v>4146.8900000000003</v>
      </c>
      <c r="M109" s="9">
        <v>3495.26</v>
      </c>
      <c r="N109" s="9">
        <v>4644.66</v>
      </c>
      <c r="O109" s="9">
        <v>3191.9</v>
      </c>
      <c r="P109" s="8">
        <f t="shared" si="12"/>
        <v>3857.5442857142857</v>
      </c>
      <c r="Q109" s="8">
        <f t="shared" si="13"/>
        <v>3646.7428571428572</v>
      </c>
      <c r="R109" s="8">
        <f t="shared" si="14"/>
        <v>0.94535346506530249</v>
      </c>
      <c r="S109" s="12">
        <f t="shared" si="15"/>
        <v>0.57800921163272556</v>
      </c>
    </row>
    <row r="110" spans="1:19" x14ac:dyDescent="0.5">
      <c r="A110" s="8" t="s">
        <v>136</v>
      </c>
      <c r="B110" s="8">
        <v>3386.28</v>
      </c>
      <c r="C110" s="8">
        <v>3774.01</v>
      </c>
      <c r="D110" s="8">
        <v>3405.56</v>
      </c>
      <c r="E110" s="8">
        <v>3986.1275000000001</v>
      </c>
      <c r="F110" s="8">
        <v>3353.4</v>
      </c>
      <c r="G110" s="8">
        <v>2701.8</v>
      </c>
      <c r="H110" s="8">
        <v>2683.71</v>
      </c>
      <c r="I110" s="9">
        <v>3526.85</v>
      </c>
      <c r="J110" s="9">
        <v>3283</v>
      </c>
      <c r="K110" s="9">
        <v>3203.43</v>
      </c>
      <c r="L110" s="9">
        <v>3077.2</v>
      </c>
      <c r="M110" s="9">
        <v>2970.7</v>
      </c>
      <c r="N110" s="9">
        <v>3098.12</v>
      </c>
      <c r="O110" s="9">
        <v>2518.8074999999999</v>
      </c>
      <c r="P110" s="8">
        <f t="shared" si="12"/>
        <v>3327.269642857143</v>
      </c>
      <c r="Q110" s="8">
        <f t="shared" si="13"/>
        <v>3096.8724999999999</v>
      </c>
      <c r="R110" s="8">
        <f t="shared" si="14"/>
        <v>0.93075489287387603</v>
      </c>
      <c r="S110" s="12">
        <f t="shared" si="15"/>
        <v>0.31537556539125988</v>
      </c>
    </row>
    <row r="111" spans="1:19" x14ac:dyDescent="0.5">
      <c r="A111" s="8" t="s">
        <v>137</v>
      </c>
      <c r="B111" s="8">
        <v>2450.33925</v>
      </c>
      <c r="C111" s="8">
        <v>4.3780000000000001</v>
      </c>
      <c r="D111" s="8">
        <v>4.3780000000000001</v>
      </c>
      <c r="E111" s="8">
        <v>1187.6400000000001</v>
      </c>
      <c r="F111" s="8">
        <v>4.3780000000000001</v>
      </c>
      <c r="G111" s="8">
        <v>4.3780000000000001</v>
      </c>
      <c r="H111" s="8">
        <v>4.3780000000000001</v>
      </c>
      <c r="I111" s="9">
        <v>2450.33925</v>
      </c>
      <c r="J111" s="9">
        <v>756.02</v>
      </c>
      <c r="K111" s="9">
        <v>4.3780000000000001</v>
      </c>
      <c r="L111" s="9">
        <v>43.78</v>
      </c>
      <c r="M111" s="9">
        <v>95.18</v>
      </c>
      <c r="N111" s="9">
        <v>4.3780000000000001</v>
      </c>
      <c r="O111" s="9">
        <v>4.3780000000000001</v>
      </c>
      <c r="P111" s="8">
        <f t="shared" si="12"/>
        <v>522.83846428571439</v>
      </c>
      <c r="Q111" s="8">
        <f t="shared" si="13"/>
        <v>479.77903571428578</v>
      </c>
      <c r="R111" s="8">
        <f t="shared" si="14"/>
        <v>0.91764295951282948</v>
      </c>
      <c r="S111" s="12">
        <f t="shared" si="15"/>
        <v>0.93271760790729763</v>
      </c>
    </row>
    <row r="112" spans="1:19" x14ac:dyDescent="0.5">
      <c r="A112" s="8" t="s">
        <v>138</v>
      </c>
      <c r="B112" s="8">
        <v>443.11</v>
      </c>
      <c r="C112" s="8">
        <v>621.1</v>
      </c>
      <c r="D112" s="8">
        <v>243.61</v>
      </c>
      <c r="E112" s="8">
        <v>314.5</v>
      </c>
      <c r="F112" s="8">
        <v>514.26</v>
      </c>
      <c r="G112" s="8">
        <v>276.67</v>
      </c>
      <c r="H112" s="8">
        <v>347.93</v>
      </c>
      <c r="I112" s="9">
        <v>177.9</v>
      </c>
      <c r="J112" s="9">
        <v>428.94</v>
      </c>
      <c r="K112" s="9">
        <v>201.45</v>
      </c>
      <c r="L112" s="9">
        <v>187.02</v>
      </c>
      <c r="M112" s="9">
        <v>268.43</v>
      </c>
      <c r="N112" s="9">
        <v>260.74</v>
      </c>
      <c r="O112" s="9">
        <v>794.1925</v>
      </c>
      <c r="P112" s="8">
        <f t="shared" si="12"/>
        <v>394.45428571428567</v>
      </c>
      <c r="Q112" s="8">
        <f t="shared" si="13"/>
        <v>331.23892857142857</v>
      </c>
      <c r="R112" s="8">
        <f t="shared" si="14"/>
        <v>0.83973971273151338</v>
      </c>
      <c r="S112" s="12">
        <f t="shared" si="15"/>
        <v>0.53294660274426775</v>
      </c>
    </row>
    <row r="113" spans="1:19" x14ac:dyDescent="0.5">
      <c r="A113" s="8" t="s">
        <v>139</v>
      </c>
      <c r="B113" s="8">
        <v>12.34</v>
      </c>
      <c r="C113" s="8">
        <v>17.98</v>
      </c>
      <c r="D113" s="8">
        <v>6.45</v>
      </c>
      <c r="E113" s="8">
        <v>29</v>
      </c>
      <c r="F113" s="8">
        <v>2.4500000000000002</v>
      </c>
      <c r="G113" s="8">
        <v>2.7E-2</v>
      </c>
      <c r="H113" s="8">
        <v>8.42</v>
      </c>
      <c r="I113" s="9">
        <v>27.89</v>
      </c>
      <c r="J113" s="9">
        <v>7.99</v>
      </c>
      <c r="K113" s="9">
        <v>1.07</v>
      </c>
      <c r="L113" s="9">
        <v>4.1100000000000003</v>
      </c>
      <c r="M113" s="9">
        <v>6.78</v>
      </c>
      <c r="N113" s="9">
        <v>12.3</v>
      </c>
      <c r="O113" s="9">
        <v>0.27</v>
      </c>
      <c r="P113" s="8">
        <f t="shared" si="12"/>
        <v>10.952428571428573</v>
      </c>
      <c r="Q113" s="8">
        <f t="shared" si="13"/>
        <v>8.6300000000000008</v>
      </c>
      <c r="R113" s="8">
        <f t="shared" si="14"/>
        <v>0.78795309585610496</v>
      </c>
      <c r="S113" s="12">
        <f t="shared" si="15"/>
        <v>0.66246668938846964</v>
      </c>
    </row>
    <row r="114" spans="1:19" x14ac:dyDescent="0.5">
      <c r="A114" s="8" t="s">
        <v>140</v>
      </c>
      <c r="B114" s="8">
        <v>5127.1000000000004</v>
      </c>
      <c r="C114" s="8">
        <v>6005.98</v>
      </c>
      <c r="D114" s="8">
        <v>3602.26</v>
      </c>
      <c r="E114" s="8">
        <v>6020.94</v>
      </c>
      <c r="F114" s="8">
        <v>3236.9</v>
      </c>
      <c r="G114" s="8">
        <v>4132.04</v>
      </c>
      <c r="H114" s="8">
        <v>3908.22</v>
      </c>
      <c r="I114" s="9">
        <v>3285.72</v>
      </c>
      <c r="J114" s="9">
        <v>4510.0600000000004</v>
      </c>
      <c r="K114" s="9">
        <v>3312.25</v>
      </c>
      <c r="L114" s="9">
        <v>3849.01</v>
      </c>
      <c r="M114" s="9">
        <v>3566.79</v>
      </c>
      <c r="N114" s="9">
        <v>2542.14</v>
      </c>
      <c r="O114" s="9">
        <v>2206.5</v>
      </c>
      <c r="P114" s="8">
        <f t="shared" si="12"/>
        <v>4576.2057142857147</v>
      </c>
      <c r="Q114" s="8">
        <f t="shared" si="13"/>
        <v>3324.6385714285716</v>
      </c>
      <c r="R114" s="8">
        <f t="shared" si="14"/>
        <v>0.72650548926371938</v>
      </c>
      <c r="S114" s="12">
        <f t="shared" si="15"/>
        <v>3.3531572638570338E-2</v>
      </c>
    </row>
    <row r="115" spans="1:19" x14ac:dyDescent="0.5">
      <c r="A115" s="8" t="s">
        <v>141</v>
      </c>
      <c r="B115" s="8">
        <v>54.97</v>
      </c>
      <c r="C115" s="8">
        <v>64.47</v>
      </c>
      <c r="D115" s="8">
        <v>32.67</v>
      </c>
      <c r="E115" s="8">
        <v>1.4E-2</v>
      </c>
      <c r="F115" s="8">
        <v>90.07</v>
      </c>
      <c r="G115" s="8">
        <v>1.4E-2</v>
      </c>
      <c r="H115" s="8">
        <v>1.4E-2</v>
      </c>
      <c r="I115" s="9">
        <v>66.77</v>
      </c>
      <c r="J115" s="9">
        <v>47.6</v>
      </c>
      <c r="K115" s="9">
        <v>1.9</v>
      </c>
      <c r="L115" s="9">
        <v>0.14000000000000001</v>
      </c>
      <c r="M115" s="9">
        <v>28.82</v>
      </c>
      <c r="N115" s="9">
        <v>3.48</v>
      </c>
      <c r="O115" s="9">
        <v>6.61</v>
      </c>
      <c r="P115" s="8">
        <f t="shared" si="12"/>
        <v>34.603142857142863</v>
      </c>
      <c r="Q115" s="8">
        <f t="shared" si="13"/>
        <v>22.188571428571432</v>
      </c>
      <c r="R115" s="8">
        <f t="shared" si="14"/>
        <v>0.64122994608251938</v>
      </c>
      <c r="S115" s="12">
        <f t="shared" si="15"/>
        <v>0.47934810551878027</v>
      </c>
    </row>
    <row r="116" spans="1:19" x14ac:dyDescent="0.5">
      <c r="A116" s="8" t="s">
        <v>142</v>
      </c>
      <c r="B116" s="8">
        <v>836.61</v>
      </c>
      <c r="C116" s="8">
        <v>685.5</v>
      </c>
      <c r="D116" s="8">
        <v>715.4</v>
      </c>
      <c r="E116" s="8">
        <v>681.93</v>
      </c>
      <c r="F116" s="8">
        <v>3960.92</v>
      </c>
      <c r="G116" s="8">
        <v>3724.25</v>
      </c>
      <c r="H116" s="8">
        <v>701.81</v>
      </c>
      <c r="I116" s="9">
        <v>1118.9100000000001</v>
      </c>
      <c r="J116" s="9">
        <v>780.37</v>
      </c>
      <c r="K116" s="9">
        <v>831.68</v>
      </c>
      <c r="L116" s="9">
        <v>1185.4100000000001</v>
      </c>
      <c r="M116" s="9">
        <v>1593.39</v>
      </c>
      <c r="N116" s="9">
        <v>884.02</v>
      </c>
      <c r="O116" s="9">
        <v>704.52</v>
      </c>
      <c r="P116" s="8">
        <f t="shared" si="12"/>
        <v>1615.2028571428571</v>
      </c>
      <c r="Q116" s="8">
        <f t="shared" si="13"/>
        <v>1014.0428571428573</v>
      </c>
      <c r="R116" s="8">
        <f t="shared" si="14"/>
        <v>0.62781145579237296</v>
      </c>
      <c r="S116" s="12">
        <f t="shared" si="15"/>
        <v>0.32663075966356547</v>
      </c>
    </row>
    <row r="117" spans="1:19" x14ac:dyDescent="0.5">
      <c r="A117" s="8" t="s">
        <v>143</v>
      </c>
      <c r="B117" s="8">
        <v>17.760000000000002</v>
      </c>
      <c r="C117" s="8">
        <v>10.64</v>
      </c>
      <c r="D117" s="8">
        <v>49.67</v>
      </c>
      <c r="E117" s="8">
        <v>0.34300000000000003</v>
      </c>
      <c r="F117" s="8">
        <v>19.22</v>
      </c>
      <c r="G117" s="8">
        <v>10</v>
      </c>
      <c r="H117" s="8">
        <v>10.83</v>
      </c>
      <c r="I117" s="9">
        <v>26.48</v>
      </c>
      <c r="J117" s="9">
        <v>22.5</v>
      </c>
      <c r="K117" s="9">
        <v>0.34300000000000003</v>
      </c>
      <c r="L117" s="9">
        <v>8.7899999999999991</v>
      </c>
      <c r="M117" s="9">
        <v>9.3699999999999992</v>
      </c>
      <c r="N117" s="9">
        <v>3.43</v>
      </c>
      <c r="O117" s="9">
        <v>0.34300000000000003</v>
      </c>
      <c r="P117" s="8">
        <f t="shared" si="12"/>
        <v>16.923285714285715</v>
      </c>
      <c r="Q117" s="8">
        <f t="shared" si="13"/>
        <v>10.179428571428573</v>
      </c>
      <c r="R117" s="8">
        <f t="shared" si="14"/>
        <v>0.6015042671551456</v>
      </c>
      <c r="S117" s="12">
        <f t="shared" si="15"/>
        <v>0.36307814239761271</v>
      </c>
    </row>
    <row r="118" spans="1:19" x14ac:dyDescent="0.5">
      <c r="A118" s="8" t="s">
        <v>144</v>
      </c>
      <c r="B118" s="8">
        <v>6281.69</v>
      </c>
      <c r="C118" s="8">
        <v>6422.9</v>
      </c>
      <c r="D118" s="8">
        <v>233.81</v>
      </c>
      <c r="E118" s="8">
        <v>3134.99</v>
      </c>
      <c r="F118" s="8">
        <v>728.35</v>
      </c>
      <c r="G118" s="8">
        <v>3983.72</v>
      </c>
      <c r="H118" s="8">
        <v>2052.4899999999998</v>
      </c>
      <c r="I118" s="9">
        <v>2455.63</v>
      </c>
      <c r="J118" s="9">
        <v>607.12</v>
      </c>
      <c r="K118" s="9">
        <v>1267.06</v>
      </c>
      <c r="L118" s="9">
        <v>408.38</v>
      </c>
      <c r="M118" s="9">
        <v>2726.34</v>
      </c>
      <c r="N118" s="9">
        <v>497.82</v>
      </c>
      <c r="O118" s="9">
        <v>880.79</v>
      </c>
      <c r="P118" s="8">
        <f t="shared" si="12"/>
        <v>3262.5642857142852</v>
      </c>
      <c r="Q118" s="8">
        <f t="shared" si="13"/>
        <v>1263.3057142857142</v>
      </c>
      <c r="R118" s="8">
        <f t="shared" si="14"/>
        <v>0.38721251250659544</v>
      </c>
      <c r="S118" s="12">
        <f t="shared" si="15"/>
        <v>6.9189188168850099E-2</v>
      </c>
    </row>
    <row r="119" spans="1:19" x14ac:dyDescent="0.5">
      <c r="A119" s="8" t="s">
        <v>145</v>
      </c>
      <c r="B119" s="8">
        <v>237.19</v>
      </c>
      <c r="C119" s="8">
        <v>66.59</v>
      </c>
      <c r="D119" s="8">
        <v>23.21</v>
      </c>
      <c r="E119" s="8">
        <v>357.60500000000002</v>
      </c>
      <c r="F119" s="8">
        <v>147.88999999999999</v>
      </c>
      <c r="G119" s="8">
        <v>186.35</v>
      </c>
      <c r="H119" s="8">
        <v>37.93</v>
      </c>
      <c r="I119" s="9">
        <v>123.01</v>
      </c>
      <c r="J119" s="9">
        <v>61.48</v>
      </c>
      <c r="K119" s="9">
        <v>23.73</v>
      </c>
      <c r="L119" s="9">
        <v>12.41</v>
      </c>
      <c r="M119" s="9">
        <v>46.8</v>
      </c>
      <c r="N119" s="9">
        <v>104.12</v>
      </c>
      <c r="O119" s="9">
        <v>24.38</v>
      </c>
      <c r="P119" s="8">
        <f t="shared" si="12"/>
        <v>150.96642857142859</v>
      </c>
      <c r="Q119" s="8">
        <f t="shared" si="13"/>
        <v>56.561428571428571</v>
      </c>
      <c r="R119" s="8">
        <f t="shared" si="14"/>
        <v>0.37466229483376146</v>
      </c>
      <c r="S119" s="12">
        <f t="shared" si="15"/>
        <v>7.4971394297579166E-2</v>
      </c>
    </row>
    <row r="120" spans="1:19" x14ac:dyDescent="0.5">
      <c r="S120" s="12"/>
    </row>
    <row r="121" spans="1:19" x14ac:dyDescent="0.5">
      <c r="S121" s="12"/>
    </row>
  </sheetData>
  <phoneticPr fontId="5" type="noConversion"/>
  <conditionalFormatting sqref="S2:S121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</vt:lpstr>
      <vt:lpstr>y vs m</vt:lpstr>
      <vt:lpstr>m vs o</vt:lpstr>
      <vt:lpstr>o vs 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913014976@qq.com</dc:creator>
  <cp:lastModifiedBy>航 杨</cp:lastModifiedBy>
  <dcterms:created xsi:type="dcterms:W3CDTF">2024-11-27T12:22:20Z</dcterms:created>
  <dcterms:modified xsi:type="dcterms:W3CDTF">2024-11-27T15:06:55Z</dcterms:modified>
</cp:coreProperties>
</file>